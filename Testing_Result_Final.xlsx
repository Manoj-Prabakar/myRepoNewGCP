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NLU_Bias_Reference" sheetId="1" state="visible" r:id="rId1"/>
    <sheet xmlns:r="http://schemas.openxmlformats.org/officeDocument/2006/relationships" name="NLU_BIAS_TobeComputed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 Narrow"/>
      <b val="1"/>
      <sz val="11"/>
    </font>
    <font>
      <name val="Aptos Narrow"/>
      <family val="2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10" fontId="0" fillId="0" borderId="0" applyAlignment="1" pivotButton="0" quotePrefix="0" xfId="0">
      <alignment horizontal="left"/>
    </xf>
    <xf numFmtId="0" fontId="6" fillId="2" borderId="0" pivotButton="0" quotePrefix="0" xfId="0"/>
    <xf numFmtId="0" fontId="7" fillId="0" borderId="0" pivotButton="0" quotePrefix="0" xfId="0"/>
    <xf numFmtId="0" fontId="6" fillId="3" borderId="0" pivotButton="0" quotePrefix="0" xfId="0"/>
    <xf numFmtId="0" fontId="7" fillId="3" borderId="0" pivotButton="0" quotePrefix="0" xfId="0"/>
    <xf numFmtId="10" fontId="7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dxfs count="8"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65"/>
  <sheetViews>
    <sheetView topLeftCell="B34" zoomScale="70" zoomScaleNormal="70" workbookViewId="0">
      <selection activeCell="B12" sqref="B12"/>
    </sheetView>
  </sheetViews>
  <sheetFormatPr baseColWidth="8" defaultColWidth="8.7265625" defaultRowHeight="14.5"/>
  <cols>
    <col width="8.7265625" customWidth="1" style="1" min="1" max="1"/>
    <col width="18" customWidth="1" style="1" min="2" max="2"/>
    <col width="8.7265625" customWidth="1" style="1" min="3" max="4"/>
    <col width="19.1796875" bestFit="1" customWidth="1" style="1" min="5" max="5"/>
    <col width="8.7265625" customWidth="1" style="1" min="6" max="16384"/>
  </cols>
  <sheetData>
    <row r="2">
      <c r="B2" s="2" t="inlineStr">
        <is>
          <t>Accent Bias</t>
        </is>
      </c>
      <c r="C2" s="3" t="inlineStr">
        <is>
          <t>Accent</t>
        </is>
      </c>
      <c r="D2" s="3" t="inlineStr">
        <is>
          <t>Gender</t>
        </is>
      </c>
      <c r="E2" s="3" t="inlineStr">
        <is>
          <t>Head Intent</t>
        </is>
      </c>
      <c r="F2" s="3" t="inlineStr">
        <is>
          <t>Total_Count</t>
        </is>
      </c>
      <c r="G2" s="3" t="inlineStr">
        <is>
          <t>Pass_Count</t>
        </is>
      </c>
      <c r="H2" s="3" t="inlineStr">
        <is>
          <t>Fail_Count</t>
        </is>
      </c>
      <c r="I2" s="3" t="inlineStr">
        <is>
          <t>Pass Pct</t>
        </is>
      </c>
      <c r="J2" s="3" t="inlineStr">
        <is>
          <t>Fail Pct</t>
        </is>
      </c>
      <c r="L2" s="4" t="inlineStr">
        <is>
          <t>Expected Passed</t>
        </is>
      </c>
      <c r="M2" s="4" t="inlineStr">
        <is>
          <t>Expected Failed</t>
        </is>
      </c>
      <c r="N2" s="4" t="inlineStr">
        <is>
          <t>Chi-Square Passed</t>
        </is>
      </c>
      <c r="O2" s="4" t="inlineStr">
        <is>
          <t>Chi-Square Failed</t>
        </is>
      </c>
      <c r="R2" s="4" t="inlineStr">
        <is>
          <t>X^2</t>
        </is>
      </c>
      <c r="S2" s="4" t="inlineStr">
        <is>
          <t>Degree Of Freedom</t>
        </is>
      </c>
      <c r="T2" s="4" t="inlineStr">
        <is>
          <t>p-value</t>
        </is>
      </c>
    </row>
    <row r="3">
      <c r="C3" s="5" t="inlineStr">
        <is>
          <t>Australian</t>
        </is>
      </c>
      <c r="D3" s="5" t="inlineStr">
        <is>
          <t>All</t>
        </is>
      </c>
      <c r="E3" s="5" t="inlineStr">
        <is>
          <t>All</t>
        </is>
      </c>
      <c r="F3" s="5" t="n">
        <v>200</v>
      </c>
      <c r="G3" s="5" t="n">
        <v>200</v>
      </c>
      <c r="H3" s="5" t="n">
        <v>0</v>
      </c>
      <c r="I3" s="6" t="n">
        <v>1</v>
      </c>
      <c r="J3" s="6" t="n">
        <v>0</v>
      </c>
      <c r="L3" s="7">
        <f>$G$9*F3/$F$9</f>
        <v/>
      </c>
      <c r="M3" s="7">
        <f>$H$9*F3/$F$9</f>
        <v/>
      </c>
      <c r="N3" s="7">
        <f>IFERROR(((G3-L3)^2)/L3,0)</f>
        <v/>
      </c>
      <c r="O3" s="7">
        <f>IFERROR(((H3-M3)^2)/M3,0)</f>
        <v/>
      </c>
      <c r="R3" s="8">
        <f>SUM(N3:O8)</f>
        <v/>
      </c>
      <c r="S3" s="5">
        <f>(6-1)*(2-1)</f>
        <v/>
      </c>
      <c r="T3" s="7">
        <f>_xlfn.CHISQ.DIST.RT(R3,S3)</f>
        <v/>
      </c>
    </row>
    <row r="4">
      <c r="C4" s="5" t="inlineStr">
        <is>
          <t>Chinese</t>
        </is>
      </c>
      <c r="D4" s="5" t="inlineStr">
        <is>
          <t>All</t>
        </is>
      </c>
      <c r="E4" s="5" t="inlineStr">
        <is>
          <t>All</t>
        </is>
      </c>
      <c r="F4" s="5" t="n">
        <v>200</v>
      </c>
      <c r="G4" s="5" t="n">
        <v>191</v>
      </c>
      <c r="H4" s="5" t="n">
        <v>9</v>
      </c>
      <c r="I4" s="6" t="n">
        <v>0.955</v>
      </c>
      <c r="J4" s="6" t="n">
        <v>0.045</v>
      </c>
      <c r="L4" s="7">
        <f>$G$9*F4/$F$9</f>
        <v/>
      </c>
      <c r="M4" s="7">
        <f>$H$9*F4/$F$9</f>
        <v/>
      </c>
      <c r="N4" s="7">
        <f>IFERROR(((G4-L4)^2)/L4,0)</f>
        <v/>
      </c>
      <c r="O4" s="7">
        <f>IFERROR(((H4-M4)^2)/M4,0)</f>
        <v/>
      </c>
    </row>
    <row r="5">
      <c r="C5" s="5" t="inlineStr">
        <is>
          <t>English</t>
        </is>
      </c>
      <c r="D5" s="5" t="inlineStr">
        <is>
          <t>All</t>
        </is>
      </c>
      <c r="E5" s="5" t="inlineStr">
        <is>
          <t>All</t>
        </is>
      </c>
      <c r="F5" s="5" t="n">
        <v>200</v>
      </c>
      <c r="G5" s="5" t="n">
        <v>200</v>
      </c>
      <c r="H5" s="5" t="n">
        <v>0</v>
      </c>
      <c r="I5" s="6" t="n">
        <v>1</v>
      </c>
      <c r="J5" s="6" t="n">
        <v>0</v>
      </c>
      <c r="L5" s="7">
        <f>$G$9*F5/$F$9</f>
        <v/>
      </c>
      <c r="M5" s="7">
        <f>$H$9*F5/$F$9</f>
        <v/>
      </c>
      <c r="N5" s="7">
        <f>IFERROR(((G5-L5)^2)/L5,0)</f>
        <v/>
      </c>
      <c r="O5" s="7">
        <f>IFERROR(((H5-M5)^2)/M5,0)</f>
        <v/>
      </c>
    </row>
    <row r="6">
      <c r="C6" s="5" t="inlineStr">
        <is>
          <t>French</t>
        </is>
      </c>
      <c r="D6" s="5" t="inlineStr">
        <is>
          <t>All</t>
        </is>
      </c>
      <c r="E6" s="5" t="inlineStr">
        <is>
          <t>All</t>
        </is>
      </c>
      <c r="F6" s="5" t="n">
        <v>200</v>
      </c>
      <c r="G6" s="5" t="n">
        <v>177</v>
      </c>
      <c r="H6" s="5" t="n">
        <v>23</v>
      </c>
      <c r="I6" s="6" t="n">
        <v>0.885</v>
      </c>
      <c r="J6" s="6" t="n">
        <v>0.115</v>
      </c>
      <c r="L6" s="7">
        <f>$G$9*F6/$F$9</f>
        <v/>
      </c>
      <c r="M6" s="7">
        <f>$H$9*F6/$F$9</f>
        <v/>
      </c>
      <c r="N6" s="7">
        <f>IFERROR(((G6-L6)^2)/L6,0)</f>
        <v/>
      </c>
      <c r="O6" s="7">
        <f>IFERROR(((H6-M6)^2)/M6,0)</f>
        <v/>
      </c>
    </row>
    <row r="7">
      <c r="C7" s="5" t="inlineStr">
        <is>
          <t>Indian</t>
        </is>
      </c>
      <c r="D7" s="5" t="inlineStr">
        <is>
          <t>All</t>
        </is>
      </c>
      <c r="E7" s="5" t="inlineStr">
        <is>
          <t>All</t>
        </is>
      </c>
      <c r="F7" s="5" t="n">
        <v>200</v>
      </c>
      <c r="G7" s="5" t="n">
        <v>200</v>
      </c>
      <c r="H7" s="5" t="n">
        <v>0</v>
      </c>
      <c r="I7" s="6" t="n">
        <v>1</v>
      </c>
      <c r="J7" s="6" t="n">
        <v>0</v>
      </c>
      <c r="L7" s="7">
        <f>$G$9*F7/$F$9</f>
        <v/>
      </c>
      <c r="M7" s="7">
        <f>$H$9*F7/$F$9</f>
        <v/>
      </c>
      <c r="N7" s="7">
        <f>IFERROR(((G7-L7)^2)/L7,0)</f>
        <v/>
      </c>
      <c r="O7" s="7">
        <f>IFERROR(((H7-M7)^2)/M7,0)</f>
        <v/>
      </c>
    </row>
    <row r="8">
      <c r="C8" s="5" t="inlineStr">
        <is>
          <t>Spanish</t>
        </is>
      </c>
      <c r="D8" s="5" t="inlineStr">
        <is>
          <t>All</t>
        </is>
      </c>
      <c r="E8" s="5" t="inlineStr">
        <is>
          <t>All</t>
        </is>
      </c>
      <c r="F8" s="5" t="n">
        <v>200</v>
      </c>
      <c r="G8" s="5" t="n">
        <v>183</v>
      </c>
      <c r="H8" s="5" t="n">
        <v>17</v>
      </c>
      <c r="I8" s="6" t="n">
        <v>0.915</v>
      </c>
      <c r="J8" s="6" t="n">
        <v>0.08500000000000001</v>
      </c>
      <c r="L8" s="7">
        <f>$G$9*F8/$F$9</f>
        <v/>
      </c>
      <c r="M8" s="7">
        <f>$H$9*F8/$F$9</f>
        <v/>
      </c>
      <c r="N8" s="7">
        <f>IFERROR(((G8-L8)^2)/L8,0)</f>
        <v/>
      </c>
      <c r="O8" s="7">
        <f>IFERROR(((H8-M8)^2)/M8,0)</f>
        <v/>
      </c>
    </row>
    <row r="9">
      <c r="C9" s="9" t="inlineStr">
        <is>
          <t>Total</t>
        </is>
      </c>
      <c r="D9" s="9" t="inlineStr">
        <is>
          <t>All</t>
        </is>
      </c>
      <c r="E9" s="9" t="inlineStr">
        <is>
          <t>All</t>
        </is>
      </c>
      <c r="F9" s="9">
        <f>SUM(F3:F8)</f>
        <v/>
      </c>
      <c r="G9" s="9">
        <f>SUM(G3:G8)</f>
        <v/>
      </c>
      <c r="H9" s="9">
        <f>SUM(H3:H8)</f>
        <v/>
      </c>
      <c r="I9" s="10">
        <f>G9/F9</f>
        <v/>
      </c>
      <c r="J9" s="10">
        <f>H9/F9</f>
        <v/>
      </c>
    </row>
    <row r="12">
      <c r="B12" s="2" t="inlineStr">
        <is>
          <t>Gender Bias</t>
        </is>
      </c>
      <c r="C12" s="3" t="inlineStr">
        <is>
          <t>Accent</t>
        </is>
      </c>
      <c r="D12" s="3" t="inlineStr">
        <is>
          <t>Gender</t>
        </is>
      </c>
      <c r="E12" s="3" t="inlineStr">
        <is>
          <t>Head Intent</t>
        </is>
      </c>
      <c r="F12" s="3" t="inlineStr">
        <is>
          <t>Total_Count</t>
        </is>
      </c>
      <c r="G12" s="3" t="inlineStr">
        <is>
          <t>Pass_Count</t>
        </is>
      </c>
      <c r="H12" s="3" t="inlineStr">
        <is>
          <t>Fail_Count</t>
        </is>
      </c>
      <c r="I12" s="3" t="inlineStr">
        <is>
          <t>Pass Pct</t>
        </is>
      </c>
      <c r="J12" s="3" t="inlineStr">
        <is>
          <t>Fail Pct</t>
        </is>
      </c>
      <c r="L12" s="4" t="inlineStr">
        <is>
          <t>Expected Passed</t>
        </is>
      </c>
      <c r="M12" s="4" t="inlineStr">
        <is>
          <t>Expected Failed</t>
        </is>
      </c>
      <c r="N12" s="4" t="inlineStr">
        <is>
          <t>Chi-Square Passed</t>
        </is>
      </c>
      <c r="O12" s="4" t="inlineStr">
        <is>
          <t>Chi-Square Failed</t>
        </is>
      </c>
      <c r="R12" s="4" t="inlineStr">
        <is>
          <t>X^2</t>
        </is>
      </c>
      <c r="S12" s="4" t="inlineStr">
        <is>
          <t>Degree Of Freedom</t>
        </is>
      </c>
      <c r="T12" s="4" t="inlineStr">
        <is>
          <t>p-value</t>
        </is>
      </c>
    </row>
    <row r="13">
      <c r="C13" s="5" t="inlineStr">
        <is>
          <t>All</t>
        </is>
      </c>
      <c r="D13" s="5" t="inlineStr">
        <is>
          <t>Female</t>
        </is>
      </c>
      <c r="E13" s="5" t="inlineStr">
        <is>
          <t>All</t>
        </is>
      </c>
      <c r="F13" s="5" t="n">
        <v>600</v>
      </c>
      <c r="G13" s="5" t="n">
        <v>569</v>
      </c>
      <c r="H13" s="5" t="n">
        <v>31</v>
      </c>
      <c r="I13" s="6" t="n">
        <v>0.948</v>
      </c>
      <c r="J13" s="6" t="n">
        <v>0.052</v>
      </c>
      <c r="L13" s="5">
        <f>$G$15*F13/$F$15</f>
        <v/>
      </c>
      <c r="M13" s="5">
        <f>$H$15*F13/$F$15</f>
        <v/>
      </c>
      <c r="N13" s="11">
        <f>IFERROR(((G13-L13)^2)/L13,0)</f>
        <v/>
      </c>
      <c r="O13" s="11">
        <f>IFERROR(((H13-M13)^2)/M13,0)</f>
        <v/>
      </c>
      <c r="R13" s="8">
        <f>SUM(N13:O14)</f>
        <v/>
      </c>
      <c r="S13" s="5">
        <f>(2-1)*(2-1)</f>
        <v/>
      </c>
      <c r="T13" s="7">
        <f>_xlfn.CHISQ.DIST.RT(R13,S13)</f>
        <v/>
      </c>
    </row>
    <row r="14">
      <c r="C14" s="5" t="inlineStr">
        <is>
          <t>All</t>
        </is>
      </c>
      <c r="D14" s="5" t="inlineStr">
        <is>
          <t>Male</t>
        </is>
      </c>
      <c r="E14" s="5" t="inlineStr">
        <is>
          <t>All</t>
        </is>
      </c>
      <c r="F14" s="5" t="n">
        <v>600</v>
      </c>
      <c r="G14" s="5" t="n">
        <v>582</v>
      </c>
      <c r="H14" s="5" t="n">
        <v>18</v>
      </c>
      <c r="I14" s="6" t="n">
        <v>0.97</v>
      </c>
      <c r="J14" s="6" t="n">
        <v>0.03</v>
      </c>
      <c r="L14" s="5">
        <f>$G$15*F14/$F$15</f>
        <v/>
      </c>
      <c r="M14" s="5">
        <f>$H$15*F14/$F$15</f>
        <v/>
      </c>
      <c r="N14" s="11">
        <f>IFERROR(((G14-L14)^2)/L14,0)</f>
        <v/>
      </c>
      <c r="O14" s="11">
        <f>IFERROR(((H14-M14)^2)/M14,0)</f>
        <v/>
      </c>
    </row>
    <row r="15">
      <c r="C15" s="9" t="inlineStr">
        <is>
          <t>Total</t>
        </is>
      </c>
      <c r="D15" s="9" t="inlineStr">
        <is>
          <t>All</t>
        </is>
      </c>
      <c r="E15" s="9" t="inlineStr">
        <is>
          <t>All</t>
        </is>
      </c>
      <c r="F15" s="9">
        <f>F14+F13</f>
        <v/>
      </c>
      <c r="G15" s="9">
        <f>G14+G13</f>
        <v/>
      </c>
      <c r="H15" s="9">
        <f>H14+H13</f>
        <v/>
      </c>
      <c r="I15" s="10">
        <f>G15/F15</f>
        <v/>
      </c>
      <c r="J15" s="10">
        <f>H15/F15</f>
        <v/>
      </c>
    </row>
    <row r="18">
      <c r="B18" s="2" t="inlineStr">
        <is>
          <t>Intent Level</t>
        </is>
      </c>
      <c r="C18" s="3" t="inlineStr">
        <is>
          <t>Accent</t>
        </is>
      </c>
      <c r="D18" s="3" t="inlineStr">
        <is>
          <t>Gender</t>
        </is>
      </c>
      <c r="E18" s="3" t="inlineStr">
        <is>
          <t>Expected Head Intent</t>
        </is>
      </c>
      <c r="F18" s="3" t="inlineStr">
        <is>
          <t>Total_Count</t>
        </is>
      </c>
      <c r="G18" s="3" t="inlineStr">
        <is>
          <t>Pass_Count</t>
        </is>
      </c>
      <c r="H18" s="3" t="inlineStr">
        <is>
          <t>Fail_Count</t>
        </is>
      </c>
      <c r="I18" s="3" t="inlineStr">
        <is>
          <t>Pass Pct</t>
        </is>
      </c>
      <c r="J18" s="3" t="inlineStr">
        <is>
          <t>Fail Pct</t>
        </is>
      </c>
    </row>
    <row r="19">
      <c r="C19" s="5" t="inlineStr">
        <is>
          <t>All</t>
        </is>
      </c>
      <c r="D19" s="5" t="inlineStr">
        <is>
          <t>All</t>
        </is>
      </c>
      <c r="E19" s="5" t="inlineStr">
        <is>
          <t>ClaimsStatus</t>
        </is>
      </c>
      <c r="F19" s="5" t="n">
        <v>600</v>
      </c>
      <c r="G19" s="5" t="n">
        <v>578</v>
      </c>
      <c r="H19" s="5" t="n">
        <v>22</v>
      </c>
      <c r="I19" s="6" t="n">
        <v>0.963</v>
      </c>
      <c r="J19" s="6" t="n">
        <v>0.037</v>
      </c>
    </row>
    <row r="20">
      <c r="C20" s="5" t="inlineStr">
        <is>
          <t>All</t>
        </is>
      </c>
      <c r="D20" s="5" t="inlineStr">
        <is>
          <t>All</t>
        </is>
      </c>
      <c r="E20" s="5" t="inlineStr">
        <is>
          <t>PriorAuthorizations</t>
        </is>
      </c>
      <c r="F20" s="5" t="n">
        <v>600</v>
      </c>
      <c r="G20" s="5" t="n">
        <v>573</v>
      </c>
      <c r="H20" s="5" t="n">
        <v>27</v>
      </c>
      <c r="I20" s="6" t="n">
        <v>0.955</v>
      </c>
      <c r="J20" s="6" t="n">
        <v>0.045</v>
      </c>
    </row>
    <row r="21">
      <c r="C21" s="9" t="inlineStr">
        <is>
          <t>Total</t>
        </is>
      </c>
      <c r="D21" s="9" t="inlineStr">
        <is>
          <t>All</t>
        </is>
      </c>
      <c r="E21" s="9" t="inlineStr">
        <is>
          <t>All</t>
        </is>
      </c>
      <c r="F21" s="9">
        <f>SUM(F19:F20)</f>
        <v/>
      </c>
      <c r="G21" s="9">
        <f>SUM(G19:G20)</f>
        <v/>
      </c>
      <c r="H21" s="9">
        <f>SUM(H19:H20)</f>
        <v/>
      </c>
      <c r="I21" s="10">
        <f>G21/F21</f>
        <v/>
      </c>
      <c r="J21" s="10">
        <f>H21/F21</f>
        <v/>
      </c>
    </row>
    <row r="24">
      <c r="C24" s="12" t="inlineStr">
        <is>
          <t>Accent</t>
        </is>
      </c>
      <c r="D24" s="12" t="inlineStr">
        <is>
          <t>Gender</t>
        </is>
      </c>
      <c r="E24" s="3" t="inlineStr">
        <is>
          <t>Expected Head Intent</t>
        </is>
      </c>
      <c r="F24" s="12" t="inlineStr">
        <is>
          <t>Total_Count</t>
        </is>
      </c>
      <c r="G24" s="12" t="inlineStr">
        <is>
          <t>Pass_Count</t>
        </is>
      </c>
      <c r="H24" s="12" t="inlineStr">
        <is>
          <t>Fail_Count</t>
        </is>
      </c>
      <c r="I24" s="12" t="inlineStr">
        <is>
          <t>Pass Pct</t>
        </is>
      </c>
      <c r="J24" s="12" t="inlineStr">
        <is>
          <t>Fail Pct</t>
        </is>
      </c>
    </row>
    <row r="25">
      <c r="C25" s="5" t="inlineStr">
        <is>
          <t>Australian</t>
        </is>
      </c>
      <c r="D25" s="5" t="inlineStr">
        <is>
          <t>FEMALE</t>
        </is>
      </c>
      <c r="E25" s="5" t="inlineStr">
        <is>
          <t>All</t>
        </is>
      </c>
      <c r="F25" s="5" t="n">
        <v>100</v>
      </c>
      <c r="G25" s="5" t="n">
        <v>100</v>
      </c>
      <c r="H25" s="5" t="n">
        <v>0</v>
      </c>
      <c r="I25" s="6" t="inlineStr">
        <is>
          <t>100.0%</t>
        </is>
      </c>
      <c r="J25" s="5" t="inlineStr">
        <is>
          <t>0.0%</t>
        </is>
      </c>
    </row>
    <row r="26">
      <c r="C26" s="5" t="inlineStr">
        <is>
          <t>Australian</t>
        </is>
      </c>
      <c r="D26" s="5" t="inlineStr">
        <is>
          <t>MALE</t>
        </is>
      </c>
      <c r="E26" s="5" t="inlineStr">
        <is>
          <t>All</t>
        </is>
      </c>
      <c r="F26" s="5" t="n">
        <v>100</v>
      </c>
      <c r="G26" s="5" t="n">
        <v>100</v>
      </c>
      <c r="H26" s="5" t="n">
        <v>0</v>
      </c>
      <c r="I26" s="6" t="inlineStr">
        <is>
          <t>100.0%</t>
        </is>
      </c>
      <c r="J26" s="5" t="inlineStr">
        <is>
          <t>0.0%</t>
        </is>
      </c>
    </row>
    <row r="27">
      <c r="C27" s="5" t="inlineStr">
        <is>
          <t>Chinese</t>
        </is>
      </c>
      <c r="D27" s="5" t="inlineStr">
        <is>
          <t>FEMALE</t>
        </is>
      </c>
      <c r="E27" s="5" t="inlineStr">
        <is>
          <t>All</t>
        </is>
      </c>
      <c r="F27" s="5" t="n">
        <v>100</v>
      </c>
      <c r="G27" s="5" t="n">
        <v>94</v>
      </c>
      <c r="H27" s="5" t="n">
        <v>6</v>
      </c>
      <c r="I27" s="6" t="inlineStr">
        <is>
          <t>94.0%</t>
        </is>
      </c>
      <c r="J27" s="5" t="inlineStr">
        <is>
          <t>6.0%</t>
        </is>
      </c>
    </row>
    <row r="28">
      <c r="C28" s="5" t="inlineStr">
        <is>
          <t>Chinese</t>
        </is>
      </c>
      <c r="D28" s="5" t="inlineStr">
        <is>
          <t>MALE</t>
        </is>
      </c>
      <c r="E28" s="5" t="inlineStr">
        <is>
          <t>All</t>
        </is>
      </c>
      <c r="F28" s="5" t="n">
        <v>100</v>
      </c>
      <c r="G28" s="5" t="n">
        <v>97</v>
      </c>
      <c r="H28" s="5" t="n">
        <v>3</v>
      </c>
      <c r="I28" s="6" t="inlineStr">
        <is>
          <t>97.0%</t>
        </is>
      </c>
      <c r="J28" s="5" t="inlineStr">
        <is>
          <t>3.0%</t>
        </is>
      </c>
    </row>
    <row r="29">
      <c r="C29" s="5" t="inlineStr">
        <is>
          <t>English</t>
        </is>
      </c>
      <c r="D29" s="5" t="inlineStr">
        <is>
          <t>FEMALE</t>
        </is>
      </c>
      <c r="E29" s="5" t="inlineStr">
        <is>
          <t>All</t>
        </is>
      </c>
      <c r="F29" s="5" t="n">
        <v>100</v>
      </c>
      <c r="G29" s="5" t="n">
        <v>100</v>
      </c>
      <c r="H29" s="5" t="n">
        <v>0</v>
      </c>
      <c r="I29" s="6" t="inlineStr">
        <is>
          <t>100.0%</t>
        </is>
      </c>
      <c r="J29" s="5" t="inlineStr">
        <is>
          <t>0.0%</t>
        </is>
      </c>
    </row>
    <row r="30">
      <c r="C30" s="5" t="inlineStr">
        <is>
          <t>English</t>
        </is>
      </c>
      <c r="D30" s="5" t="inlineStr">
        <is>
          <t>MALE</t>
        </is>
      </c>
      <c r="E30" s="5" t="inlineStr">
        <is>
          <t>All</t>
        </is>
      </c>
      <c r="F30" s="5" t="n">
        <v>100</v>
      </c>
      <c r="G30" s="5" t="n">
        <v>100</v>
      </c>
      <c r="H30" s="5" t="n">
        <v>0</v>
      </c>
      <c r="I30" s="6" t="inlineStr">
        <is>
          <t>100.0%</t>
        </is>
      </c>
      <c r="J30" s="5" t="inlineStr">
        <is>
          <t>0.0%</t>
        </is>
      </c>
    </row>
    <row r="31">
      <c r="C31" s="5" t="inlineStr">
        <is>
          <t>French</t>
        </is>
      </c>
      <c r="D31" s="5" t="inlineStr">
        <is>
          <t>FEMALE</t>
        </is>
      </c>
      <c r="E31" s="5" t="inlineStr">
        <is>
          <t>All</t>
        </is>
      </c>
      <c r="F31" s="5" t="n">
        <v>100</v>
      </c>
      <c r="G31" s="5" t="n">
        <v>87</v>
      </c>
      <c r="H31" s="5" t="n">
        <v>13</v>
      </c>
      <c r="I31" s="6" t="inlineStr">
        <is>
          <t>87.0%</t>
        </is>
      </c>
      <c r="J31" s="5" t="inlineStr">
        <is>
          <t>13.0%</t>
        </is>
      </c>
    </row>
    <row r="32">
      <c r="C32" s="5" t="inlineStr">
        <is>
          <t>French</t>
        </is>
      </c>
      <c r="D32" s="5" t="inlineStr">
        <is>
          <t>MALE</t>
        </is>
      </c>
      <c r="E32" s="5" t="inlineStr">
        <is>
          <t>All</t>
        </is>
      </c>
      <c r="F32" s="5" t="n">
        <v>100</v>
      </c>
      <c r="G32" s="5" t="n">
        <v>90</v>
      </c>
      <c r="H32" s="5" t="n">
        <v>10</v>
      </c>
      <c r="I32" s="6" t="inlineStr">
        <is>
          <t>90.0%</t>
        </is>
      </c>
      <c r="J32" s="5" t="inlineStr">
        <is>
          <t>10.0%</t>
        </is>
      </c>
    </row>
    <row r="33">
      <c r="C33" s="5" t="inlineStr">
        <is>
          <t>Indian</t>
        </is>
      </c>
      <c r="D33" s="5" t="inlineStr">
        <is>
          <t>FEMALE</t>
        </is>
      </c>
      <c r="E33" s="5" t="inlineStr">
        <is>
          <t>All</t>
        </is>
      </c>
      <c r="F33" s="5" t="n">
        <v>100</v>
      </c>
      <c r="G33" s="5" t="n">
        <v>100</v>
      </c>
      <c r="H33" s="5" t="n">
        <v>0</v>
      </c>
      <c r="I33" s="6" t="inlineStr">
        <is>
          <t>100.0%</t>
        </is>
      </c>
      <c r="J33" s="5" t="inlineStr">
        <is>
          <t>0.0%</t>
        </is>
      </c>
    </row>
    <row r="34">
      <c r="C34" s="5" t="inlineStr">
        <is>
          <t>Indian</t>
        </is>
      </c>
      <c r="D34" s="5" t="inlineStr">
        <is>
          <t>MALE</t>
        </is>
      </c>
      <c r="E34" s="5" t="inlineStr">
        <is>
          <t>All</t>
        </is>
      </c>
      <c r="F34" s="5" t="n">
        <v>100</v>
      </c>
      <c r="G34" s="5" t="n">
        <v>100</v>
      </c>
      <c r="H34" s="5" t="n">
        <v>0</v>
      </c>
      <c r="I34" s="6" t="inlineStr">
        <is>
          <t>100.0%</t>
        </is>
      </c>
      <c r="J34" s="5" t="inlineStr">
        <is>
          <t>0.0%</t>
        </is>
      </c>
    </row>
    <row r="35">
      <c r="C35" s="5" t="inlineStr">
        <is>
          <t>Spanish</t>
        </is>
      </c>
      <c r="D35" s="5" t="inlineStr">
        <is>
          <t>FEMALE</t>
        </is>
      </c>
      <c r="E35" s="5" t="inlineStr">
        <is>
          <t>All</t>
        </is>
      </c>
      <c r="F35" s="5" t="n">
        <v>100</v>
      </c>
      <c r="G35" s="5" t="n">
        <v>88</v>
      </c>
      <c r="H35" s="5" t="n">
        <v>12</v>
      </c>
      <c r="I35" s="6" t="inlineStr">
        <is>
          <t>88.0%</t>
        </is>
      </c>
      <c r="J35" s="5" t="inlineStr">
        <is>
          <t>12.0%</t>
        </is>
      </c>
    </row>
    <row r="36">
      <c r="C36" s="5" t="inlineStr">
        <is>
          <t>Spanish</t>
        </is>
      </c>
      <c r="D36" s="5" t="inlineStr">
        <is>
          <t>MALE</t>
        </is>
      </c>
      <c r="E36" s="5" t="inlineStr">
        <is>
          <t>All</t>
        </is>
      </c>
      <c r="F36" s="5" t="n">
        <v>100</v>
      </c>
      <c r="G36" s="5" t="n">
        <v>95</v>
      </c>
      <c r="H36" s="5" t="n">
        <v>5</v>
      </c>
      <c r="I36" s="6" t="inlineStr">
        <is>
          <t>95.0%</t>
        </is>
      </c>
      <c r="J36" s="5" t="inlineStr">
        <is>
          <t>5.0%</t>
        </is>
      </c>
    </row>
    <row r="37">
      <c r="C37" s="9" t="inlineStr">
        <is>
          <t>Total</t>
        </is>
      </c>
      <c r="D37" s="9" t="inlineStr">
        <is>
          <t>All</t>
        </is>
      </c>
      <c r="E37" s="9" t="inlineStr">
        <is>
          <t>All</t>
        </is>
      </c>
      <c r="F37" s="9">
        <f>SUM(F25:F36)</f>
        <v/>
      </c>
      <c r="G37" s="9">
        <f>SUM(G25:G36)</f>
        <v/>
      </c>
      <c r="H37" s="9">
        <f>SUM(H25:H36)</f>
        <v/>
      </c>
      <c r="I37" s="6">
        <f>G37/F37</f>
        <v/>
      </c>
      <c r="J37" s="10">
        <f>H37/F37</f>
        <v/>
      </c>
    </row>
    <row r="40">
      <c r="C40" s="12" t="inlineStr">
        <is>
          <t>Accent</t>
        </is>
      </c>
      <c r="D40" s="12" t="inlineStr">
        <is>
          <t>Gender</t>
        </is>
      </c>
      <c r="E40" s="12" t="inlineStr">
        <is>
          <t>Expected Head Intent</t>
        </is>
      </c>
      <c r="F40" s="12" t="inlineStr">
        <is>
          <t>Total_Count</t>
        </is>
      </c>
      <c r="G40" s="12" t="inlineStr">
        <is>
          <t>Pass_Count</t>
        </is>
      </c>
      <c r="H40" s="12" t="inlineStr">
        <is>
          <t>Fail_Count</t>
        </is>
      </c>
      <c r="I40" s="12" t="inlineStr">
        <is>
          <t>Pass Pct</t>
        </is>
      </c>
      <c r="J40" s="12" t="inlineStr">
        <is>
          <t>Fail Pct</t>
        </is>
      </c>
    </row>
    <row r="41">
      <c r="C41" s="5" t="inlineStr">
        <is>
          <t>Australian</t>
        </is>
      </c>
      <c r="D41" s="5" t="inlineStr">
        <is>
          <t>FEMALE</t>
        </is>
      </c>
      <c r="E41" s="5" t="inlineStr">
        <is>
          <t>ClaimsStatus</t>
        </is>
      </c>
      <c r="F41" s="5" t="n">
        <v>50</v>
      </c>
      <c r="G41" s="5" t="n">
        <v>50</v>
      </c>
      <c r="H41" s="5" t="n">
        <v>0</v>
      </c>
      <c r="I41" s="6" t="n">
        <v>1</v>
      </c>
      <c r="J41" s="6" t="n">
        <v>0</v>
      </c>
    </row>
    <row r="42">
      <c r="C42" s="5" t="inlineStr">
        <is>
          <t>Australian</t>
        </is>
      </c>
      <c r="D42" s="5" t="inlineStr">
        <is>
          <t>FEMALE</t>
        </is>
      </c>
      <c r="E42" s="5" t="inlineStr">
        <is>
          <t>PriorAuthorizations</t>
        </is>
      </c>
      <c r="F42" s="5" t="n">
        <v>50</v>
      </c>
      <c r="G42" s="5" t="n">
        <v>50</v>
      </c>
      <c r="H42" s="5" t="n">
        <v>0</v>
      </c>
      <c r="I42" s="6" t="n">
        <v>1</v>
      </c>
      <c r="J42" s="6" t="n">
        <v>0</v>
      </c>
    </row>
    <row r="43">
      <c r="C43" s="5" t="inlineStr">
        <is>
          <t>Australian</t>
        </is>
      </c>
      <c r="D43" s="5" t="inlineStr">
        <is>
          <t>MALE</t>
        </is>
      </c>
      <c r="E43" s="5" t="inlineStr">
        <is>
          <t>ClaimsStatus</t>
        </is>
      </c>
      <c r="F43" s="5" t="n">
        <v>50</v>
      </c>
      <c r="G43" s="5" t="n">
        <v>50</v>
      </c>
      <c r="H43" s="5" t="n">
        <v>0</v>
      </c>
      <c r="I43" s="6" t="n">
        <v>1</v>
      </c>
      <c r="J43" s="6" t="n">
        <v>0</v>
      </c>
    </row>
    <row r="44">
      <c r="C44" s="5" t="inlineStr">
        <is>
          <t>Australian</t>
        </is>
      </c>
      <c r="D44" s="5" t="inlineStr">
        <is>
          <t>MALE</t>
        </is>
      </c>
      <c r="E44" s="5" t="inlineStr">
        <is>
          <t>PriorAuthorizations</t>
        </is>
      </c>
      <c r="F44" s="5" t="n">
        <v>50</v>
      </c>
      <c r="G44" s="5" t="n">
        <v>50</v>
      </c>
      <c r="H44" s="5" t="n">
        <v>0</v>
      </c>
      <c r="I44" s="6" t="n">
        <v>1</v>
      </c>
      <c r="J44" s="6" t="n">
        <v>0</v>
      </c>
    </row>
    <row r="45">
      <c r="C45" s="5" t="inlineStr">
        <is>
          <t>Chinese</t>
        </is>
      </c>
      <c r="D45" s="5" t="inlineStr">
        <is>
          <t>FEMALE</t>
        </is>
      </c>
      <c r="E45" s="5" t="inlineStr">
        <is>
          <t>ClaimsStatus</t>
        </is>
      </c>
      <c r="F45" s="5" t="n">
        <v>50</v>
      </c>
      <c r="G45" s="5" t="n">
        <v>47</v>
      </c>
      <c r="H45" s="5" t="n">
        <v>3</v>
      </c>
      <c r="I45" s="6" t="n">
        <v>0.9399999999999999</v>
      </c>
      <c r="J45" s="6" t="n">
        <v>0.06</v>
      </c>
    </row>
    <row r="46">
      <c r="C46" s="5" t="inlineStr">
        <is>
          <t>Chinese</t>
        </is>
      </c>
      <c r="D46" s="5" t="inlineStr">
        <is>
          <t>FEMALE</t>
        </is>
      </c>
      <c r="E46" s="5" t="inlineStr">
        <is>
          <t>PriorAuthorizations</t>
        </is>
      </c>
      <c r="F46" s="5" t="n">
        <v>50</v>
      </c>
      <c r="G46" s="5" t="n">
        <v>47</v>
      </c>
      <c r="H46" s="5" t="n">
        <v>3</v>
      </c>
      <c r="I46" s="6" t="n">
        <v>0.9399999999999999</v>
      </c>
      <c r="J46" s="6" t="n">
        <v>0.06</v>
      </c>
    </row>
    <row r="47">
      <c r="C47" s="5" t="inlineStr">
        <is>
          <t>Chinese</t>
        </is>
      </c>
      <c r="D47" s="5" t="inlineStr">
        <is>
          <t>MALE</t>
        </is>
      </c>
      <c r="E47" s="5" t="inlineStr">
        <is>
          <t>ClaimsStatus</t>
        </is>
      </c>
      <c r="F47" s="5" t="n">
        <v>50</v>
      </c>
      <c r="G47" s="5" t="n">
        <v>50</v>
      </c>
      <c r="H47" s="5" t="n">
        <v>0</v>
      </c>
      <c r="I47" s="6" t="n">
        <v>1</v>
      </c>
      <c r="J47" s="6" t="n">
        <v>0</v>
      </c>
    </row>
    <row r="48">
      <c r="C48" s="5" t="inlineStr">
        <is>
          <t>Chinese</t>
        </is>
      </c>
      <c r="D48" s="5" t="inlineStr">
        <is>
          <t>MALE</t>
        </is>
      </c>
      <c r="E48" s="5" t="inlineStr">
        <is>
          <t>PriorAuthorizations</t>
        </is>
      </c>
      <c r="F48" s="5" t="n">
        <v>50</v>
      </c>
      <c r="G48" s="5" t="n">
        <v>47</v>
      </c>
      <c r="H48" s="5" t="n">
        <v>3</v>
      </c>
      <c r="I48" s="6" t="n">
        <v>0.9399999999999999</v>
      </c>
      <c r="J48" s="6" t="n">
        <v>0.06</v>
      </c>
    </row>
    <row r="49">
      <c r="C49" s="5" t="inlineStr">
        <is>
          <t>English</t>
        </is>
      </c>
      <c r="D49" s="5" t="inlineStr">
        <is>
          <t>FEMALE</t>
        </is>
      </c>
      <c r="E49" s="5" t="inlineStr">
        <is>
          <t>ClaimsStatus</t>
        </is>
      </c>
      <c r="F49" s="5" t="n">
        <v>50</v>
      </c>
      <c r="G49" s="5" t="n">
        <v>50</v>
      </c>
      <c r="H49" s="5" t="n">
        <v>0</v>
      </c>
      <c r="I49" s="6" t="n">
        <v>1</v>
      </c>
      <c r="J49" s="6" t="n">
        <v>0</v>
      </c>
    </row>
    <row r="50">
      <c r="C50" s="5" t="inlineStr">
        <is>
          <t>English</t>
        </is>
      </c>
      <c r="D50" s="5" t="inlineStr">
        <is>
          <t>FEMALE</t>
        </is>
      </c>
      <c r="E50" s="5" t="inlineStr">
        <is>
          <t>PriorAuthorizations</t>
        </is>
      </c>
      <c r="F50" s="5" t="n">
        <v>50</v>
      </c>
      <c r="G50" s="5" t="n">
        <v>50</v>
      </c>
      <c r="H50" s="5" t="n">
        <v>0</v>
      </c>
      <c r="I50" s="6" t="n">
        <v>1</v>
      </c>
      <c r="J50" s="6" t="n">
        <v>0</v>
      </c>
    </row>
    <row r="51">
      <c r="C51" s="5" t="inlineStr">
        <is>
          <t>English</t>
        </is>
      </c>
      <c r="D51" s="5" t="inlineStr">
        <is>
          <t>MALE</t>
        </is>
      </c>
      <c r="E51" s="5" t="inlineStr">
        <is>
          <t>ClaimsStatus</t>
        </is>
      </c>
      <c r="F51" s="5" t="n">
        <v>50</v>
      </c>
      <c r="G51" s="5" t="n">
        <v>50</v>
      </c>
      <c r="H51" s="5" t="n">
        <v>0</v>
      </c>
      <c r="I51" s="6" t="n">
        <v>1</v>
      </c>
      <c r="J51" s="6" t="n">
        <v>0</v>
      </c>
    </row>
    <row r="52">
      <c r="C52" s="5" t="inlineStr">
        <is>
          <t>English</t>
        </is>
      </c>
      <c r="D52" s="5" t="inlineStr">
        <is>
          <t>MALE</t>
        </is>
      </c>
      <c r="E52" s="5" t="inlineStr">
        <is>
          <t>PriorAuthorizations</t>
        </is>
      </c>
      <c r="F52" s="5" t="n">
        <v>50</v>
      </c>
      <c r="G52" s="5" t="n">
        <v>50</v>
      </c>
      <c r="H52" s="5" t="n">
        <v>0</v>
      </c>
      <c r="I52" s="6" t="n">
        <v>1</v>
      </c>
      <c r="J52" s="6" t="n">
        <v>0</v>
      </c>
    </row>
    <row r="53">
      <c r="C53" s="5" t="inlineStr">
        <is>
          <t>French</t>
        </is>
      </c>
      <c r="D53" s="5" t="inlineStr">
        <is>
          <t>FEMALE</t>
        </is>
      </c>
      <c r="E53" s="5" t="inlineStr">
        <is>
          <t>ClaimsStatus</t>
        </is>
      </c>
      <c r="F53" s="5" t="n">
        <v>50</v>
      </c>
      <c r="G53" s="5" t="n">
        <v>48</v>
      </c>
      <c r="H53" s="5" t="n">
        <v>2</v>
      </c>
      <c r="I53" s="6" t="n">
        <v>0.96</v>
      </c>
      <c r="J53" s="6" t="n">
        <v>0.04</v>
      </c>
    </row>
    <row r="54">
      <c r="C54" s="5" t="inlineStr">
        <is>
          <t>French</t>
        </is>
      </c>
      <c r="D54" s="5" t="inlineStr">
        <is>
          <t>FEMALE</t>
        </is>
      </c>
      <c r="E54" s="5" t="inlineStr">
        <is>
          <t>PriorAuthorizations</t>
        </is>
      </c>
      <c r="F54" s="5" t="n">
        <v>50</v>
      </c>
      <c r="G54" s="5" t="n">
        <v>39</v>
      </c>
      <c r="H54" s="5" t="n">
        <v>11</v>
      </c>
      <c r="I54" s="6" t="n">
        <v>0.78</v>
      </c>
      <c r="J54" s="6" t="n">
        <v>0.22</v>
      </c>
    </row>
    <row r="55">
      <c r="C55" s="5" t="inlineStr">
        <is>
          <t>French</t>
        </is>
      </c>
      <c r="D55" s="5" t="inlineStr">
        <is>
          <t>MALE</t>
        </is>
      </c>
      <c r="E55" s="5" t="inlineStr">
        <is>
          <t>ClaimsStatus</t>
        </is>
      </c>
      <c r="F55" s="5" t="n">
        <v>50</v>
      </c>
      <c r="G55" s="5" t="n">
        <v>46</v>
      </c>
      <c r="H55" s="5" t="n">
        <v>4</v>
      </c>
      <c r="I55" s="6" t="n">
        <v>0.92</v>
      </c>
      <c r="J55" s="6" t="n">
        <v>0.08</v>
      </c>
    </row>
    <row r="56">
      <c r="C56" s="5" t="inlineStr">
        <is>
          <t>French</t>
        </is>
      </c>
      <c r="D56" s="5" t="inlineStr">
        <is>
          <t>MALE</t>
        </is>
      </c>
      <c r="E56" s="5" t="inlineStr">
        <is>
          <t>PriorAuthorizations</t>
        </is>
      </c>
      <c r="F56" s="5" t="n">
        <v>50</v>
      </c>
      <c r="G56" s="5" t="n">
        <v>44</v>
      </c>
      <c r="H56" s="5" t="n">
        <v>6</v>
      </c>
      <c r="I56" s="6" t="n">
        <v>0.88</v>
      </c>
      <c r="J56" s="6" t="n">
        <v>0.12</v>
      </c>
    </row>
    <row r="57">
      <c r="C57" s="5" t="inlineStr">
        <is>
          <t>Indian</t>
        </is>
      </c>
      <c r="D57" s="5" t="inlineStr">
        <is>
          <t>FEMALE</t>
        </is>
      </c>
      <c r="E57" s="5" t="inlineStr">
        <is>
          <t>ClaimsStatus</t>
        </is>
      </c>
      <c r="F57" s="5" t="n">
        <v>50</v>
      </c>
      <c r="G57" s="5" t="n">
        <v>50</v>
      </c>
      <c r="H57" s="5" t="n">
        <v>0</v>
      </c>
      <c r="I57" s="6" t="n">
        <v>1</v>
      </c>
      <c r="J57" s="6" t="n">
        <v>0</v>
      </c>
    </row>
    <row r="58">
      <c r="C58" s="5" t="inlineStr">
        <is>
          <t>Indian</t>
        </is>
      </c>
      <c r="D58" s="5" t="inlineStr">
        <is>
          <t>FEMALE</t>
        </is>
      </c>
      <c r="E58" s="5" t="inlineStr">
        <is>
          <t>PriorAuthorizations</t>
        </is>
      </c>
      <c r="F58" s="5" t="n">
        <v>50</v>
      </c>
      <c r="G58" s="5" t="n">
        <v>50</v>
      </c>
      <c r="H58" s="5" t="n">
        <v>0</v>
      </c>
      <c r="I58" s="6" t="n">
        <v>1</v>
      </c>
      <c r="J58" s="6" t="n">
        <v>0</v>
      </c>
    </row>
    <row r="59">
      <c r="C59" s="5" t="inlineStr">
        <is>
          <t>Indian</t>
        </is>
      </c>
      <c r="D59" s="5" t="inlineStr">
        <is>
          <t>MALE</t>
        </is>
      </c>
      <c r="E59" s="5" t="inlineStr">
        <is>
          <t>ClaimsStatus</t>
        </is>
      </c>
      <c r="F59" s="5" t="n">
        <v>50</v>
      </c>
      <c r="G59" s="5" t="n">
        <v>50</v>
      </c>
      <c r="H59" s="5" t="n">
        <v>0</v>
      </c>
      <c r="I59" s="6" t="n">
        <v>1</v>
      </c>
      <c r="J59" s="6" t="n">
        <v>0</v>
      </c>
    </row>
    <row r="60">
      <c r="C60" s="5" t="inlineStr">
        <is>
          <t>Indian</t>
        </is>
      </c>
      <c r="D60" s="5" t="inlineStr">
        <is>
          <t>MALE</t>
        </is>
      </c>
      <c r="E60" s="5" t="inlineStr">
        <is>
          <t>PriorAuthorizations</t>
        </is>
      </c>
      <c r="F60" s="5" t="n">
        <v>50</v>
      </c>
      <c r="G60" s="5" t="n">
        <v>50</v>
      </c>
      <c r="H60" s="5" t="n">
        <v>0</v>
      </c>
      <c r="I60" s="6" t="n">
        <v>1</v>
      </c>
      <c r="J60" s="6" t="n">
        <v>0</v>
      </c>
    </row>
    <row r="61">
      <c r="C61" s="5" t="inlineStr">
        <is>
          <t>Spanish</t>
        </is>
      </c>
      <c r="D61" s="5" t="inlineStr">
        <is>
          <t>FEMALE</t>
        </is>
      </c>
      <c r="E61" s="5" t="inlineStr">
        <is>
          <t>ClaimsStatus</t>
        </is>
      </c>
      <c r="F61" s="5" t="n">
        <v>50</v>
      </c>
      <c r="G61" s="5" t="n">
        <v>40</v>
      </c>
      <c r="H61" s="5" t="n">
        <v>10</v>
      </c>
      <c r="I61" s="6" t="n">
        <v>0.8</v>
      </c>
      <c r="J61" s="6" t="n">
        <v>0.2</v>
      </c>
    </row>
    <row r="62">
      <c r="C62" s="5" t="inlineStr">
        <is>
          <t>Spanish</t>
        </is>
      </c>
      <c r="D62" s="5" t="inlineStr">
        <is>
          <t>FEMALE</t>
        </is>
      </c>
      <c r="E62" s="5" t="inlineStr">
        <is>
          <t>PriorAuthorizations</t>
        </is>
      </c>
      <c r="F62" s="5" t="n">
        <v>50</v>
      </c>
      <c r="G62" s="5" t="n">
        <v>48</v>
      </c>
      <c r="H62" s="5" t="n">
        <v>2</v>
      </c>
      <c r="I62" s="6" t="n">
        <v>0.96</v>
      </c>
      <c r="J62" s="6" t="n">
        <v>0.04</v>
      </c>
    </row>
    <row r="63">
      <c r="C63" s="5" t="inlineStr">
        <is>
          <t>Spanish</t>
        </is>
      </c>
      <c r="D63" s="5" t="inlineStr">
        <is>
          <t>MALE</t>
        </is>
      </c>
      <c r="E63" s="5" t="inlineStr">
        <is>
          <t>ClaimsStatus</t>
        </is>
      </c>
      <c r="F63" s="5" t="n">
        <v>50</v>
      </c>
      <c r="G63" s="5" t="n">
        <v>47</v>
      </c>
      <c r="H63" s="5" t="n">
        <v>3</v>
      </c>
      <c r="I63" s="6" t="n">
        <v>0.9399999999999999</v>
      </c>
      <c r="J63" s="6" t="n">
        <v>0.06</v>
      </c>
    </row>
    <row r="64">
      <c r="C64" s="5" t="inlineStr">
        <is>
          <t>Spanish</t>
        </is>
      </c>
      <c r="D64" s="5" t="inlineStr">
        <is>
          <t>MALE</t>
        </is>
      </c>
      <c r="E64" s="5" t="inlineStr">
        <is>
          <t>PriorAuthorizations</t>
        </is>
      </c>
      <c r="F64" s="5" t="n">
        <v>50</v>
      </c>
      <c r="G64" s="5" t="n">
        <v>48</v>
      </c>
      <c r="H64" s="5" t="n">
        <v>2</v>
      </c>
      <c r="I64" s="6" t="n">
        <v>0.96</v>
      </c>
      <c r="J64" s="6" t="n">
        <v>0.04</v>
      </c>
    </row>
    <row r="65">
      <c r="C65" s="9" t="inlineStr">
        <is>
          <t>Total</t>
        </is>
      </c>
      <c r="D65" s="9" t="inlineStr">
        <is>
          <t>All</t>
        </is>
      </c>
      <c r="E65" s="9" t="inlineStr">
        <is>
          <t>All</t>
        </is>
      </c>
      <c r="F65" s="9">
        <f>SUM(F41:F64)</f>
        <v/>
      </c>
      <c r="G65" s="9">
        <f>SUM(G41:G64)</f>
        <v/>
      </c>
      <c r="H65" s="9">
        <f>SUM(H41:H64)</f>
        <v/>
      </c>
      <c r="I65" s="6">
        <f>G65/F65</f>
        <v/>
      </c>
      <c r="J65" s="10">
        <f>H65/F65</f>
        <v/>
      </c>
    </row>
  </sheetData>
  <conditionalFormatting sqref="I3:I9 I19:I21">
    <cfRule type="cellIs" priority="11" operator="lessThan" dxfId="1">
      <formula>0.8</formula>
    </cfRule>
    <cfRule type="cellIs" priority="12" operator="greaterThanOrEqual" dxfId="0">
      <formula>0.8</formula>
    </cfRule>
  </conditionalFormatting>
  <conditionalFormatting sqref="I13:I15">
    <cfRule type="cellIs" priority="9" operator="lessThan" dxfId="1">
      <formula>0.8</formula>
    </cfRule>
    <cfRule type="cellIs" priority="10" operator="greaterThanOrEqual" dxfId="0">
      <formula>0.8</formula>
    </cfRule>
  </conditionalFormatting>
  <conditionalFormatting sqref="I25:I37">
    <cfRule type="cellIs" priority="1" operator="lessThan" dxfId="1">
      <formula>0.8</formula>
    </cfRule>
    <cfRule type="cellIs" priority="2" operator="greaterThanOrEqual" dxfId="0">
      <formula>0.8</formula>
    </cfRule>
  </conditionalFormatting>
  <conditionalFormatting sqref="I41:I65">
    <cfRule type="cellIs" priority="3" operator="lessThan" dxfId="1">
      <formula>0.8</formula>
    </cfRule>
    <cfRule type="cellIs" priority="4" operator="greaterThanOrEqual" dxfId="0">
      <formula>0.8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T379"/>
  <sheetViews>
    <sheetView tabSelected="1" workbookViewId="0">
      <selection activeCell="C9" sqref="C9"/>
    </sheetView>
  </sheetViews>
  <sheetFormatPr baseColWidth="8" defaultRowHeight="14.5"/>
  <sheetData>
    <row r="3">
      <c r="C3" s="2" t="inlineStr">
        <is>
          <t>Accent Bias</t>
        </is>
      </c>
      <c r="D3" s="13" t="inlineStr">
        <is>
          <t>Accent</t>
        </is>
      </c>
      <c r="E3" s="13" t="inlineStr">
        <is>
          <t>Gender</t>
        </is>
      </c>
      <c r="F3" s="13" t="inlineStr">
        <is>
          <t>Total_Count</t>
        </is>
      </c>
      <c r="G3" s="13" t="inlineStr">
        <is>
          <t>Pass_Count</t>
        </is>
      </c>
      <c r="H3" s="13" t="inlineStr">
        <is>
          <t>Fail_Count</t>
        </is>
      </c>
      <c r="I3" s="13" t="inlineStr">
        <is>
          <t>Pass Pct</t>
        </is>
      </c>
      <c r="J3" s="13" t="inlineStr">
        <is>
          <t>Fail Pct</t>
        </is>
      </c>
      <c r="L3" s="15" t="inlineStr">
        <is>
          <t>Expected Passed</t>
        </is>
      </c>
      <c r="M3" s="15" t="inlineStr">
        <is>
          <t>Expected Failed</t>
        </is>
      </c>
      <c r="N3" s="15" t="inlineStr">
        <is>
          <t>Chi-Square Passed</t>
        </is>
      </c>
      <c r="O3" s="15" t="inlineStr">
        <is>
          <t>Chi-Square Failed</t>
        </is>
      </c>
      <c r="R3" s="15" t="inlineStr">
        <is>
          <t>X^2</t>
        </is>
      </c>
      <c r="S3" s="15" t="inlineStr">
        <is>
          <t>Degree Of Freedom</t>
        </is>
      </c>
      <c r="T3" s="15" t="inlineStr">
        <is>
          <t>p-value</t>
        </is>
      </c>
    </row>
    <row r="4">
      <c r="C4" s="1" t="n"/>
      <c r="D4" t="inlineStr">
        <is>
          <t>Australian</t>
        </is>
      </c>
      <c r="E4" t="inlineStr">
        <is>
          <t>FEMALE</t>
        </is>
      </c>
      <c r="F4" t="n">
        <v>9642</v>
      </c>
      <c r="G4" t="n">
        <v>8912</v>
      </c>
      <c r="H4" t="n">
        <v>730</v>
      </c>
      <c r="I4" t="inlineStr">
        <is>
          <t>92.4%</t>
        </is>
      </c>
      <c r="J4" t="inlineStr">
        <is>
          <t>7.6%</t>
        </is>
      </c>
      <c r="L4" s="16" t="n">
        <v>17842</v>
      </c>
      <c r="M4" s="16" t="n">
        <v>1442</v>
      </c>
      <c r="N4" s="16" t="n">
        <v>0.002018</v>
      </c>
      <c r="O4" s="16" t="n">
        <v>0.024965</v>
      </c>
      <c r="R4" s="16" t="n">
        <v>0.19937</v>
      </c>
      <c r="S4" s="16" t="n">
        <v>5</v>
      </c>
      <c r="T4" s="16" t="n">
        <v>0.999121</v>
      </c>
    </row>
    <row r="5">
      <c r="D5" t="inlineStr">
        <is>
          <t>Australian</t>
        </is>
      </c>
      <c r="E5" t="inlineStr">
        <is>
          <t>MALE</t>
        </is>
      </c>
      <c r="F5" t="n">
        <v>9642</v>
      </c>
      <c r="G5" t="n">
        <v>8924</v>
      </c>
      <c r="H5" t="n">
        <v>718</v>
      </c>
      <c r="I5" t="inlineStr">
        <is>
          <t>92.6%</t>
        </is>
      </c>
      <c r="J5" t="inlineStr">
        <is>
          <t>7.4%</t>
        </is>
      </c>
    </row>
    <row r="6">
      <c r="D6" t="inlineStr">
        <is>
          <t>Chinese</t>
        </is>
      </c>
      <c r="E6" t="inlineStr">
        <is>
          <t>FEMALE</t>
        </is>
      </c>
      <c r="F6" t="n">
        <v>9642</v>
      </c>
      <c r="G6" t="n">
        <v>8907</v>
      </c>
      <c r="H6" t="n">
        <v>735</v>
      </c>
      <c r="I6" t="inlineStr">
        <is>
          <t>92.4%</t>
        </is>
      </c>
      <c r="J6" t="inlineStr">
        <is>
          <t>7.6%</t>
        </is>
      </c>
      <c r="L6" s="16" t="n">
        <v>17842</v>
      </c>
      <c r="M6" s="16" t="n">
        <v>1442</v>
      </c>
      <c r="N6" s="16" t="n">
        <v>0.000897</v>
      </c>
      <c r="O6" s="16" t="n">
        <v>0.011096</v>
      </c>
    </row>
    <row r="7">
      <c r="D7" t="inlineStr">
        <is>
          <t>Chinese</t>
        </is>
      </c>
      <c r="E7" t="inlineStr">
        <is>
          <t>MALE</t>
        </is>
      </c>
      <c r="F7" t="n">
        <v>9642</v>
      </c>
      <c r="G7" t="n">
        <v>8931</v>
      </c>
      <c r="H7" t="n">
        <v>711</v>
      </c>
      <c r="I7" t="inlineStr">
        <is>
          <t>92.6%</t>
        </is>
      </c>
      <c r="J7" t="inlineStr">
        <is>
          <t>7.4%</t>
        </is>
      </c>
    </row>
    <row r="8">
      <c r="D8" t="inlineStr">
        <is>
          <t>English</t>
        </is>
      </c>
      <c r="E8" t="inlineStr">
        <is>
          <t>FEMALE</t>
        </is>
      </c>
      <c r="F8" t="n">
        <v>9642</v>
      </c>
      <c r="G8" t="n">
        <v>8940</v>
      </c>
      <c r="H8" t="n">
        <v>702</v>
      </c>
      <c r="I8" t="inlineStr">
        <is>
          <t>92.7%</t>
        </is>
      </c>
      <c r="J8" t="inlineStr">
        <is>
          <t>7.3%</t>
        </is>
      </c>
      <c r="L8" s="16" t="n">
        <v>17842</v>
      </c>
      <c r="M8" s="16" t="n">
        <v>1442</v>
      </c>
      <c r="N8" s="16" t="n">
        <v>5.6e-05</v>
      </c>
      <c r="O8" s="16" t="n">
        <v>0.000693</v>
      </c>
    </row>
    <row r="9">
      <c r="D9" t="inlineStr">
        <is>
          <t>English</t>
        </is>
      </c>
      <c r="E9" t="inlineStr">
        <is>
          <t>MALE</t>
        </is>
      </c>
      <c r="F9" t="n">
        <v>9642</v>
      </c>
      <c r="G9" t="n">
        <v>8901</v>
      </c>
      <c r="H9" t="n">
        <v>741</v>
      </c>
      <c r="I9" t="inlineStr">
        <is>
          <t>92.3%</t>
        </is>
      </c>
      <c r="J9" t="inlineStr">
        <is>
          <t>7.7%</t>
        </is>
      </c>
    </row>
    <row r="10">
      <c r="D10" t="inlineStr">
        <is>
          <t>French</t>
        </is>
      </c>
      <c r="E10" t="inlineStr">
        <is>
          <t>FEMALE</t>
        </is>
      </c>
      <c r="F10" t="n">
        <v>9642</v>
      </c>
      <c r="G10" t="n">
        <v>8926</v>
      </c>
      <c r="H10" t="n">
        <v>716</v>
      </c>
      <c r="I10" t="inlineStr">
        <is>
          <t>92.6%</t>
        </is>
      </c>
      <c r="J10" t="inlineStr">
        <is>
          <t>7.4%</t>
        </is>
      </c>
      <c r="L10" s="16" t="n">
        <v>17842</v>
      </c>
      <c r="M10" s="16" t="n">
        <v>1442</v>
      </c>
      <c r="N10" s="16" t="n">
        <v>0.005605</v>
      </c>
      <c r="O10" s="16" t="n">
        <v>0.06934800000000001</v>
      </c>
    </row>
    <row r="11">
      <c r="D11" t="inlineStr">
        <is>
          <t>French</t>
        </is>
      </c>
      <c r="E11" t="inlineStr">
        <is>
          <t>MALE</t>
        </is>
      </c>
      <c r="F11" t="n">
        <v>9642</v>
      </c>
      <c r="G11" t="n">
        <v>8926</v>
      </c>
      <c r="H11" t="n">
        <v>716</v>
      </c>
      <c r="I11" t="inlineStr">
        <is>
          <t>92.6%</t>
        </is>
      </c>
      <c r="J11" t="inlineStr">
        <is>
          <t>7.4%</t>
        </is>
      </c>
    </row>
    <row r="12">
      <c r="D12" t="inlineStr">
        <is>
          <t>Indian</t>
        </is>
      </c>
      <c r="E12" t="inlineStr">
        <is>
          <t>FEMALE</t>
        </is>
      </c>
      <c r="F12" t="n">
        <v>9642</v>
      </c>
      <c r="G12" t="n">
        <v>8917</v>
      </c>
      <c r="H12" t="n">
        <v>725</v>
      </c>
      <c r="I12" t="inlineStr">
        <is>
          <t>92.5%</t>
        </is>
      </c>
      <c r="J12" t="inlineStr">
        <is>
          <t>7.5%</t>
        </is>
      </c>
      <c r="L12" s="16" t="n">
        <v>17842</v>
      </c>
      <c r="M12" s="16" t="n">
        <v>1442</v>
      </c>
      <c r="N12" s="16" t="n">
        <v>0.002746</v>
      </c>
      <c r="O12" s="16" t="n">
        <v>0.033981</v>
      </c>
    </row>
    <row r="13">
      <c r="D13" t="inlineStr">
        <is>
          <t>Indian</t>
        </is>
      </c>
      <c r="E13" t="inlineStr">
        <is>
          <t>MALE</t>
        </is>
      </c>
      <c r="F13" t="n">
        <v>9642</v>
      </c>
      <c r="G13" t="n">
        <v>8918</v>
      </c>
      <c r="H13" t="n">
        <v>724</v>
      </c>
      <c r="I13" t="inlineStr">
        <is>
          <t>92.5%</t>
        </is>
      </c>
      <c r="J13" t="inlineStr">
        <is>
          <t>7.5%</t>
        </is>
      </c>
    </row>
    <row r="14">
      <c r="D14" t="inlineStr">
        <is>
          <t>Spanish</t>
        </is>
      </c>
      <c r="E14" t="inlineStr">
        <is>
          <t>FEMALE</t>
        </is>
      </c>
      <c r="F14" t="n">
        <v>9642</v>
      </c>
      <c r="G14" t="n">
        <v>8926</v>
      </c>
      <c r="H14" t="n">
        <v>716</v>
      </c>
      <c r="I14" t="inlineStr">
        <is>
          <t>92.6%</t>
        </is>
      </c>
      <c r="J14" t="inlineStr">
        <is>
          <t>7.4%</t>
        </is>
      </c>
      <c r="L14" s="16" t="n">
        <v>17842</v>
      </c>
      <c r="M14" s="16" t="n">
        <v>1442</v>
      </c>
      <c r="N14" s="16" t="n">
        <v>0.003587</v>
      </c>
      <c r="O14" s="16" t="n">
        <v>0.044383</v>
      </c>
    </row>
    <row r="15">
      <c r="D15" t="inlineStr">
        <is>
          <t>Spanish</t>
        </is>
      </c>
      <c r="E15" t="inlineStr">
        <is>
          <t>MALE</t>
        </is>
      </c>
      <c r="F15" t="n">
        <v>9642</v>
      </c>
      <c r="G15" t="n">
        <v>8924</v>
      </c>
      <c r="H15" t="n">
        <v>718</v>
      </c>
      <c r="I15" t="inlineStr">
        <is>
          <t>92.6%</t>
        </is>
      </c>
      <c r="J15" t="inlineStr">
        <is>
          <t>7.4%</t>
        </is>
      </c>
    </row>
    <row r="16">
      <c r="D16" s="17" t="inlineStr">
        <is>
          <t>Total</t>
        </is>
      </c>
      <c r="E16" s="18" t="inlineStr">
        <is>
          <t>All</t>
        </is>
      </c>
      <c r="F16" s="17" t="n">
        <v>115704</v>
      </c>
      <c r="G16" s="17" t="n">
        <v>107052</v>
      </c>
      <c r="H16" s="17" t="n">
        <v>8652</v>
      </c>
      <c r="I16" s="17" t="inlineStr">
        <is>
          <t>92.5223%</t>
        </is>
      </c>
      <c r="J16" s="17" t="inlineStr">
        <is>
          <t>7.4777%</t>
        </is>
      </c>
    </row>
    <row r="20">
      <c r="C20" s="2" t="inlineStr">
        <is>
          <t>Gender Bias</t>
        </is>
      </c>
      <c r="D20" s="3" t="inlineStr">
        <is>
          <t>Accent</t>
        </is>
      </c>
      <c r="E20" s="13" t="inlineStr">
        <is>
          <t>Gender</t>
        </is>
      </c>
      <c r="F20" s="13" t="inlineStr">
        <is>
          <t>Total_Count</t>
        </is>
      </c>
      <c r="G20" s="13" t="inlineStr">
        <is>
          <t>Pass_Count</t>
        </is>
      </c>
      <c r="H20" s="13" t="inlineStr">
        <is>
          <t>Fail_Count</t>
        </is>
      </c>
      <c r="I20" s="13" t="inlineStr">
        <is>
          <t>Pass Pct</t>
        </is>
      </c>
      <c r="J20" s="13" t="inlineStr">
        <is>
          <t>Fail Pct</t>
        </is>
      </c>
      <c r="L20" s="15" t="inlineStr">
        <is>
          <t>Expected Passed</t>
        </is>
      </c>
      <c r="M20" s="15" t="inlineStr">
        <is>
          <t>Expected Failed</t>
        </is>
      </c>
      <c r="N20" s="15" t="inlineStr">
        <is>
          <t>Chi-Square Passed</t>
        </is>
      </c>
      <c r="O20" s="15" t="inlineStr">
        <is>
          <t>Chi-Square Failed</t>
        </is>
      </c>
      <c r="R20" s="15" t="inlineStr">
        <is>
          <t>X^2</t>
        </is>
      </c>
      <c r="S20" s="15" t="inlineStr">
        <is>
          <t>Degree Of Freedom</t>
        </is>
      </c>
      <c r="T20" s="15" t="inlineStr">
        <is>
          <t>p-value</t>
        </is>
      </c>
    </row>
    <row r="21">
      <c r="D21" s="5" t="inlineStr">
        <is>
          <t>All</t>
        </is>
      </c>
      <c r="E21" t="inlineStr">
        <is>
          <t>FEMALE</t>
        </is>
      </c>
      <c r="F21" t="n">
        <v>57852</v>
      </c>
      <c r="G21" t="n">
        <v>52198</v>
      </c>
      <c r="H21" t="n">
        <v>4317</v>
      </c>
      <c r="I21" s="19" t="inlineStr">
        <is>
          <t>90.2268%</t>
        </is>
      </c>
      <c r="J21" s="19" t="inlineStr">
        <is>
          <t>7.4621%</t>
        </is>
      </c>
      <c r="L21" s="16" t="n">
        <v>52861</v>
      </c>
      <c r="M21" s="16" t="n">
        <v>4322.5</v>
      </c>
      <c r="N21" s="16" t="n">
        <v>8.315562999999999</v>
      </c>
      <c r="O21" s="16" t="n">
        <v>0.006998</v>
      </c>
      <c r="R21" s="16" t="n">
        <v>16.645123</v>
      </c>
      <c r="S21" s="16" t="n">
        <v>1</v>
      </c>
      <c r="T21" s="16" t="n">
        <v>4.5e-05</v>
      </c>
    </row>
    <row r="22">
      <c r="D22" s="5" t="inlineStr">
        <is>
          <t>All</t>
        </is>
      </c>
      <c r="E22" t="inlineStr">
        <is>
          <t>MALE</t>
        </is>
      </c>
      <c r="F22" t="n">
        <v>57852</v>
      </c>
      <c r="G22" t="n">
        <v>53524</v>
      </c>
      <c r="H22" t="n">
        <v>4328</v>
      </c>
      <c r="I22" t="inlineStr">
        <is>
          <t>92.5188%</t>
        </is>
      </c>
      <c r="J22" t="inlineStr">
        <is>
          <t>7.4812%</t>
        </is>
      </c>
      <c r="L22" s="16" t="n">
        <v>52861</v>
      </c>
      <c r="M22" s="16" t="n">
        <v>4322.5</v>
      </c>
      <c r="N22" s="16" t="n">
        <v>8.315562999999999</v>
      </c>
      <c r="O22" s="16" t="n">
        <v>0.006998</v>
      </c>
    </row>
    <row r="23">
      <c r="D23" s="20" t="inlineStr">
        <is>
          <t>Total</t>
        </is>
      </c>
      <c r="E23" s="18" t="inlineStr">
        <is>
          <t>All</t>
        </is>
      </c>
      <c r="F23" s="17" t="n">
        <v>115704</v>
      </c>
      <c r="G23" s="17" t="n">
        <v>105722</v>
      </c>
      <c r="H23" s="17" t="n">
        <v>8645</v>
      </c>
      <c r="I23" s="17" t="inlineStr">
        <is>
          <t>91.3728%</t>
        </is>
      </c>
      <c r="J23" s="17" t="inlineStr">
        <is>
          <t>7.4717%</t>
        </is>
      </c>
    </row>
    <row r="26">
      <c r="C26" s="2" t="inlineStr">
        <is>
          <t>Intent Level</t>
        </is>
      </c>
      <c r="D26" s="3" t="inlineStr">
        <is>
          <t>Accent</t>
        </is>
      </c>
      <c r="E26" s="13" t="inlineStr">
        <is>
          <t>Expected Head Intent</t>
        </is>
      </c>
      <c r="F26" s="13" t="inlineStr">
        <is>
          <t>Total_Count</t>
        </is>
      </c>
      <c r="G26" s="13" t="inlineStr">
        <is>
          <t>Pass_Count</t>
        </is>
      </c>
      <c r="H26" s="13" t="inlineStr">
        <is>
          <t>Fail_Count</t>
        </is>
      </c>
      <c r="I26" s="13" t="inlineStr">
        <is>
          <t>Pass Pct</t>
        </is>
      </c>
      <c r="J26" s="13" t="inlineStr">
        <is>
          <t>Fail Pct</t>
        </is>
      </c>
      <c r="K26" s="3" t="n"/>
      <c r="L26" s="15" t="inlineStr">
        <is>
          <t>Expected Passed</t>
        </is>
      </c>
      <c r="M26" s="15" t="inlineStr">
        <is>
          <t>Expected Failed</t>
        </is>
      </c>
      <c r="N26" s="15" t="inlineStr">
        <is>
          <t>Chi-Square Passed</t>
        </is>
      </c>
      <c r="O26" s="15" t="inlineStr">
        <is>
          <t>Chi-Square Failed</t>
        </is>
      </c>
      <c r="R26" s="15" t="inlineStr">
        <is>
          <t>X^2</t>
        </is>
      </c>
      <c r="S26" s="15" t="inlineStr">
        <is>
          <t>Degree Of Freedom</t>
        </is>
      </c>
      <c r="T26" s="15" t="inlineStr">
        <is>
          <t>p-value</t>
        </is>
      </c>
    </row>
    <row r="27">
      <c r="D27" s="5" t="inlineStr">
        <is>
          <t>All</t>
        </is>
      </c>
      <c r="E27" t="inlineStr">
        <is>
          <t>ABA</t>
        </is>
      </c>
      <c r="F27" t="n">
        <v>720</v>
      </c>
      <c r="G27" t="n">
        <v>616</v>
      </c>
      <c r="H27" t="n">
        <v>104</v>
      </c>
      <c r="I27" t="inlineStr">
        <is>
          <t>85.55555555555556%</t>
        </is>
      </c>
      <c r="J27" t="inlineStr">
        <is>
          <t>14.444444444444443%</t>
        </is>
      </c>
      <c r="K27" s="6" t="n"/>
    </row>
    <row r="28">
      <c r="D28" s="5" t="inlineStr">
        <is>
          <t>All</t>
        </is>
      </c>
      <c r="E28" t="inlineStr">
        <is>
          <t>Address</t>
        </is>
      </c>
      <c r="F28" t="n">
        <v>720</v>
      </c>
      <c r="G28" t="n">
        <v>600</v>
      </c>
      <c r="H28" t="n">
        <v>120</v>
      </c>
      <c r="I28" t="inlineStr">
        <is>
          <t>83.33333333333334%</t>
        </is>
      </c>
      <c r="J28" t="inlineStr">
        <is>
          <t>16.666666666666664%</t>
        </is>
      </c>
      <c r="K28" s="6" t="n"/>
    </row>
    <row r="29">
      <c r="D29" s="5" t="inlineStr">
        <is>
          <t>All</t>
        </is>
      </c>
      <c r="E29" t="inlineStr">
        <is>
          <t>Agent</t>
        </is>
      </c>
      <c r="F29" t="n">
        <v>4320</v>
      </c>
      <c r="G29" t="n">
        <v>3626</v>
      </c>
      <c r="H29" t="n">
        <v>694</v>
      </c>
      <c r="I29" t="inlineStr">
        <is>
          <t>83.93518518518519%</t>
        </is>
      </c>
      <c r="J29" t="inlineStr">
        <is>
          <t>16.064814814814817%</t>
        </is>
      </c>
      <c r="K29" s="10" t="n"/>
    </row>
    <row r="30">
      <c r="D30" s="5" t="inlineStr">
        <is>
          <t>All</t>
        </is>
      </c>
      <c r="E30" t="inlineStr">
        <is>
          <t>Agreement</t>
        </is>
      </c>
      <c r="F30" t="n">
        <v>720</v>
      </c>
      <c r="G30" t="n">
        <v>602</v>
      </c>
      <c r="H30" t="n">
        <v>118</v>
      </c>
      <c r="I30" t="inlineStr">
        <is>
          <t>83.61111111111111%</t>
        </is>
      </c>
      <c r="J30" t="inlineStr">
        <is>
          <t>16.38888888888889%</t>
        </is>
      </c>
    </row>
    <row r="31">
      <c r="D31" s="5" t="inlineStr">
        <is>
          <t>All</t>
        </is>
      </c>
      <c r="E31" t="inlineStr">
        <is>
          <t>Appointment</t>
        </is>
      </c>
      <c r="F31" t="n">
        <v>720</v>
      </c>
      <c r="G31" t="n">
        <v>626</v>
      </c>
      <c r="H31" t="n">
        <v>94</v>
      </c>
      <c r="I31" t="inlineStr">
        <is>
          <t>86.94444444444444%</t>
        </is>
      </c>
      <c r="J31" t="inlineStr">
        <is>
          <t>13.055555555555557%</t>
        </is>
      </c>
    </row>
    <row r="32">
      <c r="D32" s="5" t="inlineStr">
        <is>
          <t>All</t>
        </is>
      </c>
      <c r="E32" t="inlineStr">
        <is>
          <t>Benefits</t>
        </is>
      </c>
      <c r="F32" t="n">
        <v>2376</v>
      </c>
      <c r="G32" t="n">
        <v>1996</v>
      </c>
      <c r="H32" t="n">
        <v>380</v>
      </c>
      <c r="I32" t="inlineStr">
        <is>
          <t>84.006734006734%</t>
        </is>
      </c>
      <c r="J32" t="inlineStr">
        <is>
          <t>15.993265993265993%</t>
        </is>
      </c>
    </row>
    <row r="33">
      <c r="D33" s="5" t="inlineStr">
        <is>
          <t>All</t>
        </is>
      </c>
      <c r="E33" t="inlineStr">
        <is>
          <t>Cancel</t>
        </is>
      </c>
      <c r="F33" t="n">
        <v>720</v>
      </c>
      <c r="G33" t="n">
        <v>606</v>
      </c>
      <c r="H33" t="n">
        <v>114</v>
      </c>
      <c r="I33" t="inlineStr">
        <is>
          <t>84.16666666666667%</t>
        </is>
      </c>
      <c r="J33" t="inlineStr">
        <is>
          <t>15.833333333333332%</t>
        </is>
      </c>
    </row>
    <row r="34">
      <c r="D34" s="5" t="inlineStr">
        <is>
          <t>All</t>
        </is>
      </c>
      <c r="E34" t="inlineStr">
        <is>
          <t>Cancer</t>
        </is>
      </c>
      <c r="F34" t="n">
        <v>720</v>
      </c>
      <c r="G34" t="n">
        <v>626</v>
      </c>
      <c r="H34" t="n">
        <v>94</v>
      </c>
      <c r="I34" t="inlineStr">
        <is>
          <t>86.94444444444444%</t>
        </is>
      </c>
      <c r="J34" t="inlineStr">
        <is>
          <t>13.055555555555557%</t>
        </is>
      </c>
    </row>
    <row r="35">
      <c r="D35" s="5" t="inlineStr">
        <is>
          <t>All</t>
        </is>
      </c>
      <c r="E35" t="inlineStr">
        <is>
          <t>Cards</t>
        </is>
      </c>
      <c r="F35" t="n">
        <v>720</v>
      </c>
      <c r="G35" t="n">
        <v>625</v>
      </c>
      <c r="H35" t="n">
        <v>95</v>
      </c>
      <c r="I35" t="inlineStr">
        <is>
          <t>86.80555555555556%</t>
        </is>
      </c>
      <c r="J35" t="inlineStr">
        <is>
          <t>13.194444444444445%</t>
        </is>
      </c>
    </row>
    <row r="36">
      <c r="D36" s="5" t="inlineStr">
        <is>
          <t>All</t>
        </is>
      </c>
      <c r="E36" t="inlineStr">
        <is>
          <t>Clinical</t>
        </is>
      </c>
      <c r="F36" t="n">
        <v>2160</v>
      </c>
      <c r="G36" t="n">
        <v>1825</v>
      </c>
      <c r="H36" t="n">
        <v>335</v>
      </c>
      <c r="I36" t="inlineStr">
        <is>
          <t>84.49074074074075%</t>
        </is>
      </c>
      <c r="J36" t="inlineStr">
        <is>
          <t>15.50925925925926%</t>
        </is>
      </c>
    </row>
    <row r="37">
      <c r="D37" s="5" t="inlineStr">
        <is>
          <t>All</t>
        </is>
      </c>
      <c r="E37" t="inlineStr">
        <is>
          <t>Contact</t>
        </is>
      </c>
      <c r="F37" t="n">
        <v>1440</v>
      </c>
      <c r="G37" t="n">
        <v>1234</v>
      </c>
      <c r="H37" t="n">
        <v>206</v>
      </c>
      <c r="I37" t="inlineStr">
        <is>
          <t>85.69444444444444%</t>
        </is>
      </c>
      <c r="J37" t="inlineStr">
        <is>
          <t>14.305555555555555%</t>
        </is>
      </c>
    </row>
    <row r="38">
      <c r="D38" s="5" t="inlineStr">
        <is>
          <t>All</t>
        </is>
      </c>
      <c r="E38" t="inlineStr">
        <is>
          <t>Credentialing</t>
        </is>
      </c>
      <c r="F38" t="n">
        <v>720</v>
      </c>
      <c r="G38" t="n">
        <v>617</v>
      </c>
      <c r="H38" t="n">
        <v>103</v>
      </c>
      <c r="I38" t="inlineStr">
        <is>
          <t>85.69444444444444%</t>
        </is>
      </c>
      <c r="J38" t="inlineStr">
        <is>
          <t>14.305555555555555%</t>
        </is>
      </c>
    </row>
    <row r="39">
      <c r="D39" s="5" t="inlineStr">
        <is>
          <t>All</t>
        </is>
      </c>
      <c r="E39" t="inlineStr">
        <is>
          <t>DemographicUpdate</t>
        </is>
      </c>
      <c r="F39" t="n">
        <v>720</v>
      </c>
      <c r="G39" t="n">
        <v>624</v>
      </c>
      <c r="H39" t="n">
        <v>96</v>
      </c>
      <c r="I39" t="inlineStr">
        <is>
          <t>86.66666666666667%</t>
        </is>
      </c>
      <c r="J39" t="inlineStr">
        <is>
          <t>13.333333333333334%</t>
        </is>
      </c>
    </row>
    <row r="40">
      <c r="D40" s="5" t="inlineStr">
        <is>
          <t>All</t>
        </is>
      </c>
      <c r="E40" t="inlineStr">
        <is>
          <t>Dental</t>
        </is>
      </c>
      <c r="F40" t="n">
        <v>720</v>
      </c>
      <c r="G40" t="n">
        <v>613</v>
      </c>
      <c r="H40" t="n">
        <v>107</v>
      </c>
      <c r="I40" t="inlineStr">
        <is>
          <t>85.13888888888889%</t>
        </is>
      </c>
      <c r="J40" t="inlineStr">
        <is>
          <t>14.86111111111111%</t>
        </is>
      </c>
    </row>
    <row r="41">
      <c r="D41" s="5" t="inlineStr">
        <is>
          <t>All</t>
        </is>
      </c>
      <c r="E41" t="inlineStr">
        <is>
          <t>DisAmBig</t>
        </is>
      </c>
      <c r="F41" t="n">
        <v>2160</v>
      </c>
      <c r="G41" t="n">
        <v>1820</v>
      </c>
      <c r="H41" t="n">
        <v>340</v>
      </c>
      <c r="I41" t="inlineStr">
        <is>
          <t>84.25925925925925%</t>
        </is>
      </c>
      <c r="J41" t="inlineStr">
        <is>
          <t>15.74074074074074%</t>
        </is>
      </c>
    </row>
    <row r="42">
      <c r="D42" s="5" t="inlineStr">
        <is>
          <t>All</t>
        </is>
      </c>
      <c r="E42" t="inlineStr">
        <is>
          <t>Disability</t>
        </is>
      </c>
      <c r="F42" t="n">
        <v>720</v>
      </c>
      <c r="G42" t="n">
        <v>603</v>
      </c>
      <c r="H42" t="n">
        <v>117</v>
      </c>
      <c r="I42" t="inlineStr">
        <is>
          <t>83.75%</t>
        </is>
      </c>
      <c r="J42" t="inlineStr">
        <is>
          <t>16.25%</t>
        </is>
      </c>
    </row>
    <row r="43">
      <c r="D43" s="5" t="inlineStr">
        <is>
          <t>All</t>
        </is>
      </c>
      <c r="E43" t="inlineStr">
        <is>
          <t>Discharge</t>
        </is>
      </c>
      <c r="F43" t="n">
        <v>720</v>
      </c>
      <c r="G43" t="n">
        <v>612</v>
      </c>
      <c r="H43" t="n">
        <v>108</v>
      </c>
      <c r="I43" t="inlineStr">
        <is>
          <t>85.0%</t>
        </is>
      </c>
      <c r="J43" t="inlineStr">
        <is>
          <t>15.0%</t>
        </is>
      </c>
    </row>
    <row r="44">
      <c r="D44" s="5" t="inlineStr">
        <is>
          <t>All</t>
        </is>
      </c>
      <c r="E44" t="inlineStr">
        <is>
          <t>Doctor</t>
        </is>
      </c>
      <c r="F44" t="n">
        <v>2880</v>
      </c>
      <c r="G44" t="n">
        <v>2476</v>
      </c>
      <c r="H44" t="n">
        <v>404</v>
      </c>
      <c r="I44" t="inlineStr">
        <is>
          <t>85.97222222222223%</t>
        </is>
      </c>
      <c r="J44" t="inlineStr">
        <is>
          <t>14.027777777777779%</t>
        </is>
      </c>
    </row>
    <row r="45">
      <c r="D45" s="5" t="inlineStr">
        <is>
          <t>All</t>
        </is>
      </c>
      <c r="E45" t="inlineStr">
        <is>
          <t>EFT</t>
        </is>
      </c>
      <c r="F45" t="n">
        <v>720</v>
      </c>
      <c r="G45" t="n">
        <v>616</v>
      </c>
      <c r="H45" t="n">
        <v>104</v>
      </c>
      <c r="I45" t="inlineStr">
        <is>
          <t>85.55555555555556%</t>
        </is>
      </c>
      <c r="J45" t="inlineStr">
        <is>
          <t>14.444444444444443%</t>
        </is>
      </c>
    </row>
    <row r="46">
      <c r="D46" s="5" t="inlineStr">
        <is>
          <t>All</t>
        </is>
      </c>
      <c r="E46" t="inlineStr">
        <is>
          <t>Emergency</t>
        </is>
      </c>
      <c r="F46" t="n">
        <v>720</v>
      </c>
      <c r="G46" t="n">
        <v>617</v>
      </c>
      <c r="H46" t="n">
        <v>103</v>
      </c>
      <c r="I46" t="inlineStr">
        <is>
          <t>85.69444444444444%</t>
        </is>
      </c>
      <c r="J46" t="inlineStr">
        <is>
          <t>14.305555555555555%</t>
        </is>
      </c>
    </row>
    <row r="47">
      <c r="D47" s="5" t="inlineStr">
        <is>
          <t>All</t>
        </is>
      </c>
      <c r="E47" t="inlineStr">
        <is>
          <t>Enrollment</t>
        </is>
      </c>
      <c r="F47" t="n">
        <v>720</v>
      </c>
      <c r="G47" t="n">
        <v>607</v>
      </c>
      <c r="H47" t="n">
        <v>113</v>
      </c>
      <c r="I47" t="inlineStr">
        <is>
          <t>84.30555555555556%</t>
        </is>
      </c>
      <c r="J47" t="inlineStr">
        <is>
          <t>15.694444444444445%</t>
        </is>
      </c>
    </row>
    <row r="48">
      <c r="D48" s="5" t="inlineStr">
        <is>
          <t>All</t>
        </is>
      </c>
      <c r="E48" t="inlineStr">
        <is>
          <t>Extension</t>
        </is>
      </c>
      <c r="F48" t="n">
        <v>720</v>
      </c>
      <c r="G48" t="n">
        <v>602</v>
      </c>
      <c r="H48" t="n">
        <v>118</v>
      </c>
      <c r="I48" t="inlineStr">
        <is>
          <t>83.61111111111111%</t>
        </is>
      </c>
      <c r="J48" t="inlineStr">
        <is>
          <t>16.38888888888889%</t>
        </is>
      </c>
    </row>
    <row r="49">
      <c r="D49" s="5" t="inlineStr">
        <is>
          <t>All</t>
        </is>
      </c>
      <c r="E49" t="inlineStr">
        <is>
          <t>Fax</t>
        </is>
      </c>
      <c r="F49" t="n">
        <v>720</v>
      </c>
      <c r="G49" t="n">
        <v>612</v>
      </c>
      <c r="H49" t="n">
        <v>108</v>
      </c>
      <c r="I49" t="inlineStr">
        <is>
          <t>85.0%</t>
        </is>
      </c>
      <c r="J49" t="inlineStr">
        <is>
          <t>15.0%</t>
        </is>
      </c>
    </row>
    <row r="50">
      <c r="D50" s="5" t="inlineStr">
        <is>
          <t>All</t>
        </is>
      </c>
      <c r="E50" t="inlineStr">
        <is>
          <t>Fee</t>
        </is>
      </c>
      <c r="F50" t="n">
        <v>720</v>
      </c>
      <c r="G50" t="n">
        <v>605</v>
      </c>
      <c r="H50" t="n">
        <v>115</v>
      </c>
      <c r="I50" t="inlineStr">
        <is>
          <t>84.02777777777779%</t>
        </is>
      </c>
      <c r="J50" t="inlineStr">
        <is>
          <t>15.972222222222221%</t>
        </is>
      </c>
    </row>
    <row r="51">
      <c r="D51" s="5" t="inlineStr">
        <is>
          <t>All</t>
        </is>
      </c>
      <c r="E51" t="inlineStr">
        <is>
          <t>Fraud</t>
        </is>
      </c>
      <c r="F51" t="n">
        <v>720</v>
      </c>
      <c r="G51" t="n">
        <v>623</v>
      </c>
      <c r="H51" t="n">
        <v>97</v>
      </c>
      <c r="I51" t="inlineStr">
        <is>
          <t>86.52777777777779%</t>
        </is>
      </c>
      <c r="J51" t="inlineStr">
        <is>
          <t>13.472222222222221%</t>
        </is>
      </c>
    </row>
    <row r="52">
      <c r="D52" s="5" t="inlineStr">
        <is>
          <t>All</t>
        </is>
      </c>
      <c r="E52" t="inlineStr">
        <is>
          <t>LeaveOfAbsence</t>
        </is>
      </c>
      <c r="F52" t="n">
        <v>720</v>
      </c>
      <c r="G52" t="n">
        <v>611</v>
      </c>
      <c r="H52" t="n">
        <v>109</v>
      </c>
      <c r="I52" t="inlineStr">
        <is>
          <t>84.86111111111111%</t>
        </is>
      </c>
      <c r="J52" t="inlineStr">
        <is>
          <t>15.138888888888888%</t>
        </is>
      </c>
    </row>
    <row r="53">
      <c r="D53" s="5" t="inlineStr">
        <is>
          <t>All</t>
        </is>
      </c>
      <c r="E53" t="inlineStr">
        <is>
          <t>LegalFinancial</t>
        </is>
      </c>
      <c r="F53" t="n">
        <v>720</v>
      </c>
      <c r="G53" t="n">
        <v>622</v>
      </c>
      <c r="H53" t="n">
        <v>98</v>
      </c>
      <c r="I53" t="inlineStr">
        <is>
          <t>86.38888888888889%</t>
        </is>
      </c>
      <c r="J53" t="inlineStr">
        <is>
          <t>13.61111111111111%</t>
        </is>
      </c>
    </row>
    <row r="54">
      <c r="D54" s="5" t="inlineStr">
        <is>
          <t>All</t>
        </is>
      </c>
      <c r="E54" t="inlineStr">
        <is>
          <t>Medical</t>
        </is>
      </c>
      <c r="F54" t="n">
        <v>3600</v>
      </c>
      <c r="G54" t="n">
        <v>3034</v>
      </c>
      <c r="H54" t="n">
        <v>566</v>
      </c>
      <c r="I54" t="inlineStr">
        <is>
          <t>84.27777777777777%</t>
        </is>
      </c>
      <c r="J54" t="inlineStr">
        <is>
          <t>15.722222222222223%</t>
        </is>
      </c>
    </row>
    <row r="55">
      <c r="D55" s="5" t="inlineStr">
        <is>
          <t>All</t>
        </is>
      </c>
      <c r="E55" t="inlineStr">
        <is>
          <t>MedicalHelp</t>
        </is>
      </c>
      <c r="F55" t="n">
        <v>720</v>
      </c>
      <c r="G55" t="n">
        <v>619</v>
      </c>
      <c r="H55" t="n">
        <v>101</v>
      </c>
      <c r="I55" t="inlineStr">
        <is>
          <t>85.97222222222223%</t>
        </is>
      </c>
      <c r="J55" t="inlineStr">
        <is>
          <t>14.027777777777779%</t>
        </is>
      </c>
    </row>
    <row r="56">
      <c r="D56" s="5" t="inlineStr">
        <is>
          <t>All</t>
        </is>
      </c>
      <c r="E56" t="inlineStr">
        <is>
          <t>MemberId</t>
        </is>
      </c>
      <c r="F56" t="n">
        <v>720</v>
      </c>
      <c r="G56" t="n">
        <v>625</v>
      </c>
      <c r="H56" t="n">
        <v>95</v>
      </c>
      <c r="I56" t="inlineStr">
        <is>
          <t>86.80555555555556%</t>
        </is>
      </c>
      <c r="J56" t="inlineStr">
        <is>
          <t>13.194444444444445%</t>
        </is>
      </c>
    </row>
    <row r="57">
      <c r="D57" s="5" t="inlineStr">
        <is>
          <t>All</t>
        </is>
      </c>
      <c r="E57" t="inlineStr">
        <is>
          <t>Pharmacy</t>
        </is>
      </c>
      <c r="F57" t="n">
        <v>720</v>
      </c>
      <c r="G57" t="n">
        <v>622</v>
      </c>
      <c r="H57" t="n">
        <v>98</v>
      </c>
      <c r="I57" t="inlineStr">
        <is>
          <t>86.38888888888889%</t>
        </is>
      </c>
      <c r="J57" t="inlineStr">
        <is>
          <t>13.61111111111111%</t>
        </is>
      </c>
    </row>
    <row r="58">
      <c r="D58" s="5" t="inlineStr">
        <is>
          <t>All</t>
        </is>
      </c>
      <c r="E58" t="inlineStr">
        <is>
          <t>PreApproval</t>
        </is>
      </c>
      <c r="F58" t="n">
        <v>2160</v>
      </c>
      <c r="G58" t="n">
        <v>1830</v>
      </c>
      <c r="H58" t="n">
        <v>330</v>
      </c>
      <c r="I58" t="inlineStr">
        <is>
          <t>84.72222222222221%</t>
        </is>
      </c>
      <c r="J58" t="inlineStr">
        <is>
          <t>15.277777777777779%</t>
        </is>
      </c>
    </row>
    <row r="59">
      <c r="D59" s="5" t="inlineStr">
        <is>
          <t>All</t>
        </is>
      </c>
      <c r="E59" t="inlineStr">
        <is>
          <t>Review</t>
        </is>
      </c>
      <c r="F59" t="n">
        <v>1440</v>
      </c>
      <c r="G59" t="n">
        <v>1239</v>
      </c>
      <c r="H59" t="n">
        <v>201</v>
      </c>
      <c r="I59" t="inlineStr">
        <is>
          <t>86.04166666666667%</t>
        </is>
      </c>
      <c r="J59" t="inlineStr">
        <is>
          <t>13.958333333333334%</t>
        </is>
      </c>
    </row>
    <row r="60">
      <c r="D60" s="5" t="inlineStr">
        <is>
          <t>All</t>
        </is>
      </c>
      <c r="E60" t="inlineStr">
        <is>
          <t>Spanish</t>
        </is>
      </c>
      <c r="F60" t="n">
        <v>720</v>
      </c>
      <c r="G60" t="n">
        <v>626</v>
      </c>
      <c r="H60" t="n">
        <v>94</v>
      </c>
      <c r="I60" t="inlineStr">
        <is>
          <t>86.94444444444444%</t>
        </is>
      </c>
      <c r="J60" t="inlineStr">
        <is>
          <t>13.055555555555557%</t>
        </is>
      </c>
    </row>
    <row r="61">
      <c r="D61" s="5" t="inlineStr">
        <is>
          <t>All</t>
        </is>
      </c>
      <c r="E61" t="inlineStr">
        <is>
          <t>Submission</t>
        </is>
      </c>
      <c r="F61" t="n">
        <v>720</v>
      </c>
      <c r="G61" t="n">
        <v>607</v>
      </c>
      <c r="H61" t="n">
        <v>113</v>
      </c>
      <c r="I61" t="inlineStr">
        <is>
          <t>84.30555555555556%</t>
        </is>
      </c>
      <c r="J61" t="inlineStr">
        <is>
          <t>15.694444444444445%</t>
        </is>
      </c>
    </row>
    <row r="62">
      <c r="D62" s="5" t="inlineStr">
        <is>
          <t>All</t>
        </is>
      </c>
      <c r="E62" t="inlineStr">
        <is>
          <t>Transplants</t>
        </is>
      </c>
      <c r="F62" t="n">
        <v>720</v>
      </c>
      <c r="G62" t="n">
        <v>600</v>
      </c>
      <c r="H62" t="n">
        <v>120</v>
      </c>
      <c r="I62" t="inlineStr">
        <is>
          <t>83.33333333333334%</t>
        </is>
      </c>
      <c r="J62" t="inlineStr">
        <is>
          <t>16.666666666666664%</t>
        </is>
      </c>
    </row>
    <row r="63">
      <c r="D63" s="5" t="inlineStr">
        <is>
          <t>All</t>
        </is>
      </c>
      <c r="E63" t="inlineStr">
        <is>
          <t>Transportation</t>
        </is>
      </c>
      <c r="F63" t="n">
        <v>720</v>
      </c>
      <c r="G63" t="n">
        <v>616</v>
      </c>
      <c r="H63" t="n">
        <v>104</v>
      </c>
      <c r="I63" t="inlineStr">
        <is>
          <t>85.55555555555556%</t>
        </is>
      </c>
      <c r="J63" t="inlineStr">
        <is>
          <t>14.444444444444443%</t>
        </is>
      </c>
    </row>
    <row r="64">
      <c r="D64" s="5" t="inlineStr">
        <is>
          <t>All</t>
        </is>
      </c>
      <c r="E64" t="inlineStr">
        <is>
          <t>Travel</t>
        </is>
      </c>
      <c r="F64" t="n">
        <v>720</v>
      </c>
      <c r="G64" t="n">
        <v>611</v>
      </c>
      <c r="H64" t="n">
        <v>109</v>
      </c>
      <c r="I64" t="inlineStr">
        <is>
          <t>84.86111111111111%</t>
        </is>
      </c>
      <c r="J64" t="inlineStr">
        <is>
          <t>15.138888888888888%</t>
        </is>
      </c>
    </row>
    <row r="65">
      <c r="D65" s="5" t="inlineStr">
        <is>
          <t>All</t>
        </is>
      </c>
      <c r="E65" t="inlineStr">
        <is>
          <t>Verbal</t>
        </is>
      </c>
      <c r="F65" t="n">
        <v>720</v>
      </c>
      <c r="G65" t="n">
        <v>625</v>
      </c>
      <c r="H65" t="n">
        <v>95</v>
      </c>
      <c r="I65" t="inlineStr">
        <is>
          <t>86.80555555555556%</t>
        </is>
      </c>
      <c r="J65" t="inlineStr">
        <is>
          <t>13.194444444444445%</t>
        </is>
      </c>
    </row>
    <row r="66">
      <c r="D66" s="5" t="inlineStr">
        <is>
          <t>All</t>
        </is>
      </c>
      <c r="E66" t="inlineStr">
        <is>
          <t>Vision</t>
        </is>
      </c>
      <c r="F66" t="n">
        <v>720</v>
      </c>
      <c r="G66" t="n">
        <v>622</v>
      </c>
      <c r="H66" t="n">
        <v>98</v>
      </c>
      <c r="I66" t="inlineStr">
        <is>
          <t>86.38888888888889%</t>
        </is>
      </c>
      <c r="J66" t="inlineStr">
        <is>
          <t>13.61111111111111%</t>
        </is>
      </c>
    </row>
    <row r="67">
      <c r="D67" s="5" t="inlineStr">
        <is>
          <t>All</t>
        </is>
      </c>
      <c r="E67" t="inlineStr">
        <is>
          <t>Wellness</t>
        </is>
      </c>
      <c r="F67" t="n">
        <v>720</v>
      </c>
      <c r="G67" t="n">
        <v>621</v>
      </c>
      <c r="H67" t="n">
        <v>99</v>
      </c>
      <c r="I67" t="inlineStr">
        <is>
          <t>86.25%</t>
        </is>
      </c>
      <c r="J67" t="inlineStr">
        <is>
          <t>13.750000000000002%</t>
        </is>
      </c>
    </row>
    <row r="68">
      <c r="D68" s="5" t="inlineStr">
        <is>
          <t>All</t>
        </is>
      </c>
      <c r="E68" t="inlineStr">
        <is>
          <t>Womens</t>
        </is>
      </c>
      <c r="F68" t="n">
        <v>720</v>
      </c>
      <c r="G68" t="n">
        <v>600</v>
      </c>
      <c r="H68" t="n">
        <v>120</v>
      </c>
      <c r="I68" t="inlineStr">
        <is>
          <t>83.33333333333334%</t>
        </is>
      </c>
      <c r="J68" t="inlineStr">
        <is>
          <t>16.666666666666664%</t>
        </is>
      </c>
    </row>
    <row r="69">
      <c r="D69" s="5" t="inlineStr">
        <is>
          <t>All</t>
        </is>
      </c>
      <c r="E69" t="inlineStr">
        <is>
          <t>claims</t>
        </is>
      </c>
      <c r="F69" t="n">
        <v>3636</v>
      </c>
      <c r="G69" t="n">
        <v>3051</v>
      </c>
      <c r="H69" t="n">
        <v>585</v>
      </c>
      <c r="I69" t="inlineStr">
        <is>
          <t>83.9108910891089%</t>
        </is>
      </c>
      <c r="J69" t="inlineStr">
        <is>
          <t>16.08910891089109%</t>
        </is>
      </c>
    </row>
    <row r="70">
      <c r="D70" s="5" t="inlineStr">
        <is>
          <t>All</t>
        </is>
      </c>
      <c r="E70" t="inlineStr">
        <is>
          <t>cob</t>
        </is>
      </c>
      <c r="F70" t="n">
        <v>720</v>
      </c>
      <c r="G70" t="n">
        <v>624</v>
      </c>
      <c r="H70" t="n">
        <v>96</v>
      </c>
      <c r="I70" t="inlineStr">
        <is>
          <t>86.66666666666667%</t>
        </is>
      </c>
      <c r="J70" t="inlineStr">
        <is>
          <t>13.333333333333334%</t>
        </is>
      </c>
    </row>
    <row r="71">
      <c r="D71" s="5" t="inlineStr">
        <is>
          <t>All</t>
        </is>
      </c>
      <c r="E71" t="inlineStr">
        <is>
          <t>contact</t>
        </is>
      </c>
      <c r="F71" t="n">
        <v>720</v>
      </c>
      <c r="G71" t="n">
        <v>606</v>
      </c>
      <c r="H71" t="n">
        <v>114</v>
      </c>
      <c r="I71" t="inlineStr">
        <is>
          <t>84.16666666666667%</t>
        </is>
      </c>
      <c r="J71" t="inlineStr">
        <is>
          <t>15.833333333333332%</t>
        </is>
      </c>
    </row>
    <row r="72">
      <c r="D72" s="5" t="inlineStr">
        <is>
          <t>All</t>
        </is>
      </c>
      <c r="E72" t="inlineStr">
        <is>
          <t>employeeAssistance</t>
        </is>
      </c>
      <c r="F72" t="n">
        <v>2160</v>
      </c>
      <c r="G72" t="n">
        <v>1832</v>
      </c>
      <c r="H72" t="n">
        <v>328</v>
      </c>
      <c r="I72" t="inlineStr">
        <is>
          <t>84.81481481481481%</t>
        </is>
      </c>
      <c r="J72" t="inlineStr">
        <is>
          <t>15.185185185185185%</t>
        </is>
      </c>
    </row>
    <row r="73">
      <c r="D73" s="5" t="inlineStr">
        <is>
          <t>All</t>
        </is>
      </c>
      <c r="E73" t="inlineStr">
        <is>
          <t>financialAccount</t>
        </is>
      </c>
      <c r="F73" t="n">
        <v>720</v>
      </c>
      <c r="G73" t="n">
        <v>623</v>
      </c>
      <c r="H73" t="n">
        <v>97</v>
      </c>
      <c r="I73" t="inlineStr">
        <is>
          <t>86.52777777777779%</t>
        </is>
      </c>
      <c r="J73" t="inlineStr">
        <is>
          <t>13.472222222222221%</t>
        </is>
      </c>
    </row>
    <row r="74">
      <c r="D74" s="5" t="inlineStr">
        <is>
          <t>All</t>
        </is>
      </c>
      <c r="E74" t="inlineStr">
        <is>
          <t>preApproval</t>
        </is>
      </c>
      <c r="F74" t="n">
        <v>2160</v>
      </c>
      <c r="G74" t="n">
        <v>1875</v>
      </c>
      <c r="H74" t="n">
        <v>285</v>
      </c>
      <c r="I74" t="inlineStr">
        <is>
          <t>86.80555555555556%</t>
        </is>
      </c>
      <c r="J74" t="inlineStr">
        <is>
          <t>13.194444444444445%</t>
        </is>
      </c>
    </row>
    <row r="75">
      <c r="D75" s="5" t="inlineStr">
        <is>
          <t>All</t>
        </is>
      </c>
      <c r="E75" t="inlineStr">
        <is>
          <t>websiteSupport</t>
        </is>
      </c>
      <c r="F75" t="n">
        <v>1440</v>
      </c>
      <c r="G75" t="n">
        <v>1230</v>
      </c>
      <c r="H75" t="n">
        <v>210</v>
      </c>
      <c r="I75" t="inlineStr">
        <is>
          <t>85.41666666666666%</t>
        </is>
      </c>
      <c r="J75" t="inlineStr">
        <is>
          <t>14.583333333333334%</t>
        </is>
      </c>
    </row>
    <row r="76">
      <c r="D76" s="20" t="inlineStr">
        <is>
          <t>Total</t>
        </is>
      </c>
      <c r="F76" s="17" t="n">
        <v>57852</v>
      </c>
      <c r="G76" s="17" t="n">
        <v>49200</v>
      </c>
      <c r="H76" s="17" t="n">
        <v>8652</v>
      </c>
      <c r="I76" s="17" t="inlineStr">
        <is>
          <t>85.0446%</t>
        </is>
      </c>
      <c r="J76" s="17" t="inlineStr">
        <is>
          <t>14.9554%</t>
        </is>
      </c>
    </row>
    <row r="79">
      <c r="D79" s="13" t="inlineStr">
        <is>
          <t>Accent</t>
        </is>
      </c>
      <c r="E79" s="13" t="inlineStr">
        <is>
          <t>Expected Head Intent</t>
        </is>
      </c>
      <c r="F79" s="13" t="inlineStr">
        <is>
          <t>Total_Count</t>
        </is>
      </c>
      <c r="G79" s="13" t="inlineStr">
        <is>
          <t>Pass_Count</t>
        </is>
      </c>
      <c r="H79" s="13" t="inlineStr">
        <is>
          <t>Fail_Count</t>
        </is>
      </c>
      <c r="I79" s="13" t="inlineStr">
        <is>
          <t>Pass Pct</t>
        </is>
      </c>
      <c r="J79" s="13" t="inlineStr">
        <is>
          <t>Fail Pct</t>
        </is>
      </c>
    </row>
    <row r="80">
      <c r="D80" t="inlineStr">
        <is>
          <t>Australian</t>
        </is>
      </c>
      <c r="E80" t="inlineStr">
        <is>
          <t>ABA</t>
        </is>
      </c>
      <c r="F80" t="n">
        <v>120</v>
      </c>
      <c r="G80" t="n">
        <v>105</v>
      </c>
      <c r="H80" t="n">
        <v>15</v>
      </c>
      <c r="I80" t="inlineStr">
        <is>
          <t>87.5%</t>
        </is>
      </c>
      <c r="J80" t="inlineStr">
        <is>
          <t>12.5%</t>
        </is>
      </c>
    </row>
    <row r="81">
      <c r="D81" t="inlineStr">
        <is>
          <t>Australian</t>
        </is>
      </c>
      <c r="E81" t="inlineStr">
        <is>
          <t>Address</t>
        </is>
      </c>
      <c r="F81" t="n">
        <v>120</v>
      </c>
      <c r="G81" t="n">
        <v>100</v>
      </c>
      <c r="H81" t="n">
        <v>20</v>
      </c>
      <c r="I81" t="inlineStr">
        <is>
          <t>83.33333333333334%</t>
        </is>
      </c>
      <c r="J81" t="inlineStr">
        <is>
          <t>16.666666666666664%</t>
        </is>
      </c>
    </row>
    <row r="82">
      <c r="D82" t="inlineStr">
        <is>
          <t>Australian</t>
        </is>
      </c>
      <c r="E82" t="inlineStr">
        <is>
          <t>Agent</t>
        </is>
      </c>
      <c r="F82" t="n">
        <v>720</v>
      </c>
      <c r="G82" t="n">
        <v>605</v>
      </c>
      <c r="H82" t="n">
        <v>115</v>
      </c>
      <c r="I82" t="inlineStr">
        <is>
          <t>84.02777777777779%</t>
        </is>
      </c>
      <c r="J82" t="inlineStr">
        <is>
          <t>15.972222222222221%</t>
        </is>
      </c>
    </row>
    <row r="83">
      <c r="D83" t="inlineStr">
        <is>
          <t>Australian</t>
        </is>
      </c>
      <c r="E83" t="inlineStr">
        <is>
          <t>Agreement</t>
        </is>
      </c>
      <c r="F83" t="n">
        <v>120</v>
      </c>
      <c r="G83" t="n">
        <v>100</v>
      </c>
      <c r="H83" t="n">
        <v>20</v>
      </c>
      <c r="I83" t="inlineStr">
        <is>
          <t>83.33333333333334%</t>
        </is>
      </c>
      <c r="J83" t="inlineStr">
        <is>
          <t>16.666666666666664%</t>
        </is>
      </c>
    </row>
    <row r="84">
      <c r="D84" t="inlineStr">
        <is>
          <t>Australian</t>
        </is>
      </c>
      <c r="E84" t="inlineStr">
        <is>
          <t>Appointment</t>
        </is>
      </c>
      <c r="F84" t="n">
        <v>120</v>
      </c>
      <c r="G84" t="n">
        <v>103</v>
      </c>
      <c r="H84" t="n">
        <v>17</v>
      </c>
      <c r="I84" t="inlineStr">
        <is>
          <t>85.83333333333333%</t>
        </is>
      </c>
      <c r="J84" t="inlineStr">
        <is>
          <t>14.166666666666666%</t>
        </is>
      </c>
    </row>
    <row r="85">
      <c r="D85" t="inlineStr">
        <is>
          <t>Australian</t>
        </is>
      </c>
      <c r="E85" t="inlineStr">
        <is>
          <t>Benefits</t>
        </is>
      </c>
      <c r="F85" t="n">
        <v>396</v>
      </c>
      <c r="G85" t="n">
        <v>333</v>
      </c>
      <c r="H85" t="n">
        <v>63</v>
      </c>
      <c r="I85" t="inlineStr">
        <is>
          <t>84.0909090909091%</t>
        </is>
      </c>
      <c r="J85" t="inlineStr">
        <is>
          <t>15.909090909090908%</t>
        </is>
      </c>
    </row>
    <row r="86">
      <c r="D86" t="inlineStr">
        <is>
          <t>Australian</t>
        </is>
      </c>
      <c r="E86" t="inlineStr">
        <is>
          <t>Cancel</t>
        </is>
      </c>
      <c r="F86" t="n">
        <v>120</v>
      </c>
      <c r="G86" t="n">
        <v>101</v>
      </c>
      <c r="H86" t="n">
        <v>19</v>
      </c>
      <c r="I86" t="inlineStr">
        <is>
          <t>84.16666666666667%</t>
        </is>
      </c>
      <c r="J86" t="inlineStr">
        <is>
          <t>15.833333333333332%</t>
        </is>
      </c>
    </row>
    <row r="87">
      <c r="D87" t="inlineStr">
        <is>
          <t>Australian</t>
        </is>
      </c>
      <c r="E87" t="inlineStr">
        <is>
          <t>Cancer</t>
        </is>
      </c>
      <c r="F87" t="n">
        <v>120</v>
      </c>
      <c r="G87" t="n">
        <v>105</v>
      </c>
      <c r="H87" t="n">
        <v>15</v>
      </c>
      <c r="I87" t="inlineStr">
        <is>
          <t>87.5%</t>
        </is>
      </c>
      <c r="J87" t="inlineStr">
        <is>
          <t>12.5%</t>
        </is>
      </c>
    </row>
    <row r="88">
      <c r="D88" t="inlineStr">
        <is>
          <t>Australian</t>
        </is>
      </c>
      <c r="E88" t="inlineStr">
        <is>
          <t>Cards</t>
        </is>
      </c>
      <c r="F88" t="n">
        <v>120</v>
      </c>
      <c r="G88" t="n">
        <v>102</v>
      </c>
      <c r="H88" t="n">
        <v>18</v>
      </c>
      <c r="I88" t="inlineStr">
        <is>
          <t>85.0%</t>
        </is>
      </c>
      <c r="J88" t="inlineStr">
        <is>
          <t>15.0%</t>
        </is>
      </c>
    </row>
    <row r="89">
      <c r="D89" t="inlineStr">
        <is>
          <t>Australian</t>
        </is>
      </c>
      <c r="E89" t="inlineStr">
        <is>
          <t>Clinical</t>
        </is>
      </c>
      <c r="F89" t="n">
        <v>360</v>
      </c>
      <c r="G89" t="n">
        <v>308</v>
      </c>
      <c r="H89" t="n">
        <v>52</v>
      </c>
      <c r="I89" t="inlineStr">
        <is>
          <t>85.55555555555556%</t>
        </is>
      </c>
      <c r="J89" t="inlineStr">
        <is>
          <t>14.444444444444443%</t>
        </is>
      </c>
    </row>
    <row r="90">
      <c r="D90" t="inlineStr">
        <is>
          <t>Australian</t>
        </is>
      </c>
      <c r="E90" t="inlineStr">
        <is>
          <t>Contact</t>
        </is>
      </c>
      <c r="F90" t="n">
        <v>240</v>
      </c>
      <c r="G90" t="n">
        <v>208</v>
      </c>
      <c r="H90" t="n">
        <v>32</v>
      </c>
      <c r="I90" t="inlineStr">
        <is>
          <t>86.66666666666667%</t>
        </is>
      </c>
      <c r="J90" t="inlineStr">
        <is>
          <t>13.333333333333334%</t>
        </is>
      </c>
    </row>
    <row r="91">
      <c r="D91" t="inlineStr">
        <is>
          <t>Australian</t>
        </is>
      </c>
      <c r="E91" t="inlineStr">
        <is>
          <t>Credentialing</t>
        </is>
      </c>
      <c r="F91" t="n">
        <v>120</v>
      </c>
      <c r="G91" t="n">
        <v>104</v>
      </c>
      <c r="H91" t="n">
        <v>16</v>
      </c>
      <c r="I91" t="inlineStr">
        <is>
          <t>86.66666666666667%</t>
        </is>
      </c>
      <c r="J91" t="inlineStr">
        <is>
          <t>13.333333333333334%</t>
        </is>
      </c>
    </row>
    <row r="92">
      <c r="D92" t="inlineStr">
        <is>
          <t>Australian</t>
        </is>
      </c>
      <c r="E92" t="inlineStr">
        <is>
          <t>DemographicUpdate</t>
        </is>
      </c>
      <c r="F92" t="n">
        <v>120</v>
      </c>
      <c r="G92" t="n">
        <v>107</v>
      </c>
      <c r="H92" t="n">
        <v>13</v>
      </c>
      <c r="I92" t="inlineStr">
        <is>
          <t>89.16666666666667%</t>
        </is>
      </c>
      <c r="J92" t="inlineStr">
        <is>
          <t>10.833333333333334%</t>
        </is>
      </c>
    </row>
    <row r="93">
      <c r="D93" t="inlineStr">
        <is>
          <t>Australian</t>
        </is>
      </c>
      <c r="E93" t="inlineStr">
        <is>
          <t>Dental</t>
        </is>
      </c>
      <c r="F93" t="n">
        <v>120</v>
      </c>
      <c r="G93" t="n">
        <v>100</v>
      </c>
      <c r="H93" t="n">
        <v>20</v>
      </c>
      <c r="I93" t="inlineStr">
        <is>
          <t>83.33333333333334%</t>
        </is>
      </c>
      <c r="J93" t="inlineStr">
        <is>
          <t>16.666666666666664%</t>
        </is>
      </c>
    </row>
    <row r="94">
      <c r="D94" t="inlineStr">
        <is>
          <t>Australian</t>
        </is>
      </c>
      <c r="E94" t="inlineStr">
        <is>
          <t>DisAmBig</t>
        </is>
      </c>
      <c r="F94" t="n">
        <v>360</v>
      </c>
      <c r="G94" t="n">
        <v>305</v>
      </c>
      <c r="H94" t="n">
        <v>55</v>
      </c>
      <c r="I94" t="inlineStr">
        <is>
          <t>84.72222222222221%</t>
        </is>
      </c>
      <c r="J94" t="inlineStr">
        <is>
          <t>15.277777777777779%</t>
        </is>
      </c>
    </row>
    <row r="95">
      <c r="D95" t="inlineStr">
        <is>
          <t>Australian</t>
        </is>
      </c>
      <c r="E95" t="inlineStr">
        <is>
          <t>Disability</t>
        </is>
      </c>
      <c r="F95" t="n">
        <v>120</v>
      </c>
      <c r="G95" t="n">
        <v>100</v>
      </c>
      <c r="H95" t="n">
        <v>20</v>
      </c>
      <c r="I95" t="inlineStr">
        <is>
          <t>83.33333333333334%</t>
        </is>
      </c>
      <c r="J95" t="inlineStr">
        <is>
          <t>16.666666666666664%</t>
        </is>
      </c>
    </row>
    <row r="96">
      <c r="D96" t="inlineStr">
        <is>
          <t>Australian</t>
        </is>
      </c>
      <c r="E96" t="inlineStr">
        <is>
          <t>Discharge</t>
        </is>
      </c>
      <c r="F96" t="n">
        <v>120</v>
      </c>
      <c r="G96" t="n">
        <v>104</v>
      </c>
      <c r="H96" t="n">
        <v>16</v>
      </c>
      <c r="I96" t="inlineStr">
        <is>
          <t>86.66666666666667%</t>
        </is>
      </c>
      <c r="J96" t="inlineStr">
        <is>
          <t>13.333333333333334%</t>
        </is>
      </c>
    </row>
    <row r="97">
      <c r="D97" t="inlineStr">
        <is>
          <t>Australian</t>
        </is>
      </c>
      <c r="E97" t="inlineStr">
        <is>
          <t>Doctor</t>
        </is>
      </c>
      <c r="F97" t="n">
        <v>480</v>
      </c>
      <c r="G97" t="n">
        <v>414</v>
      </c>
      <c r="H97" t="n">
        <v>66</v>
      </c>
      <c r="I97" t="inlineStr">
        <is>
          <t>86.25%</t>
        </is>
      </c>
      <c r="J97" t="inlineStr">
        <is>
          <t>13.750000000000002%</t>
        </is>
      </c>
    </row>
    <row r="98">
      <c r="D98" t="inlineStr">
        <is>
          <t>Australian</t>
        </is>
      </c>
      <c r="E98" t="inlineStr">
        <is>
          <t>EFT</t>
        </is>
      </c>
      <c r="F98" t="n">
        <v>120</v>
      </c>
      <c r="G98" t="n">
        <v>101</v>
      </c>
      <c r="H98" t="n">
        <v>19</v>
      </c>
      <c r="I98" t="inlineStr">
        <is>
          <t>84.16666666666667%</t>
        </is>
      </c>
      <c r="J98" t="inlineStr">
        <is>
          <t>15.833333333333332%</t>
        </is>
      </c>
    </row>
    <row r="99">
      <c r="D99" t="inlineStr">
        <is>
          <t>Australian</t>
        </is>
      </c>
      <c r="E99" t="inlineStr">
        <is>
          <t>Emergency</t>
        </is>
      </c>
      <c r="F99" t="n">
        <v>120</v>
      </c>
      <c r="G99" t="n">
        <v>101</v>
      </c>
      <c r="H99" t="n">
        <v>19</v>
      </c>
      <c r="I99" t="inlineStr">
        <is>
          <t>84.16666666666667%</t>
        </is>
      </c>
      <c r="J99" t="inlineStr">
        <is>
          <t>15.833333333333332%</t>
        </is>
      </c>
    </row>
    <row r="100">
      <c r="D100" t="inlineStr">
        <is>
          <t>Australian</t>
        </is>
      </c>
      <c r="E100" t="inlineStr">
        <is>
          <t>Enrollment</t>
        </is>
      </c>
      <c r="F100" t="n">
        <v>120</v>
      </c>
      <c r="G100" t="n">
        <v>100</v>
      </c>
      <c r="H100" t="n">
        <v>20</v>
      </c>
      <c r="I100" t="inlineStr">
        <is>
          <t>83.33333333333334%</t>
        </is>
      </c>
      <c r="J100" t="inlineStr">
        <is>
          <t>16.666666666666664%</t>
        </is>
      </c>
    </row>
    <row r="101">
      <c r="D101" t="inlineStr">
        <is>
          <t>Australian</t>
        </is>
      </c>
      <c r="E101" t="inlineStr">
        <is>
          <t>Extension</t>
        </is>
      </c>
      <c r="F101" t="n">
        <v>120</v>
      </c>
      <c r="G101" t="n">
        <v>101</v>
      </c>
      <c r="H101" t="n">
        <v>19</v>
      </c>
      <c r="I101" t="inlineStr">
        <is>
          <t>84.16666666666667%</t>
        </is>
      </c>
      <c r="J101" t="inlineStr">
        <is>
          <t>15.833333333333332%</t>
        </is>
      </c>
    </row>
    <row r="102">
      <c r="D102" t="inlineStr">
        <is>
          <t>Australian</t>
        </is>
      </c>
      <c r="E102" t="inlineStr">
        <is>
          <t>Fax</t>
        </is>
      </c>
      <c r="F102" t="n">
        <v>120</v>
      </c>
      <c r="G102" t="n">
        <v>103</v>
      </c>
      <c r="H102" t="n">
        <v>17</v>
      </c>
      <c r="I102" t="inlineStr">
        <is>
          <t>85.83333333333333%</t>
        </is>
      </c>
      <c r="J102" t="inlineStr">
        <is>
          <t>14.166666666666666%</t>
        </is>
      </c>
    </row>
    <row r="103">
      <c r="D103" t="inlineStr">
        <is>
          <t>Australian</t>
        </is>
      </c>
      <c r="E103" t="inlineStr">
        <is>
          <t>Fee</t>
        </is>
      </c>
      <c r="F103" t="n">
        <v>120</v>
      </c>
      <c r="G103" t="n">
        <v>101</v>
      </c>
      <c r="H103" t="n">
        <v>19</v>
      </c>
      <c r="I103" t="inlineStr">
        <is>
          <t>84.16666666666667%</t>
        </is>
      </c>
      <c r="J103" t="inlineStr">
        <is>
          <t>15.833333333333332%</t>
        </is>
      </c>
    </row>
    <row r="104">
      <c r="D104" t="inlineStr">
        <is>
          <t>Australian</t>
        </is>
      </c>
      <c r="E104" t="inlineStr">
        <is>
          <t>Fraud</t>
        </is>
      </c>
      <c r="F104" t="n">
        <v>120</v>
      </c>
      <c r="G104" t="n">
        <v>104</v>
      </c>
      <c r="H104" t="n">
        <v>16</v>
      </c>
      <c r="I104" t="inlineStr">
        <is>
          <t>86.66666666666667%</t>
        </is>
      </c>
      <c r="J104" t="inlineStr">
        <is>
          <t>13.333333333333334%</t>
        </is>
      </c>
    </row>
    <row r="105">
      <c r="D105" t="inlineStr">
        <is>
          <t>Australian</t>
        </is>
      </c>
      <c r="E105" t="inlineStr">
        <is>
          <t>LeaveOfAbsence</t>
        </is>
      </c>
      <c r="F105" t="n">
        <v>120</v>
      </c>
      <c r="G105" t="n">
        <v>100</v>
      </c>
      <c r="H105" t="n">
        <v>20</v>
      </c>
      <c r="I105" t="inlineStr">
        <is>
          <t>83.33333333333334%</t>
        </is>
      </c>
      <c r="J105" t="inlineStr">
        <is>
          <t>16.666666666666664%</t>
        </is>
      </c>
    </row>
    <row r="106">
      <c r="D106" t="inlineStr">
        <is>
          <t>Australian</t>
        </is>
      </c>
      <c r="E106" t="inlineStr">
        <is>
          <t>LegalFinancial</t>
        </is>
      </c>
      <c r="F106" t="n">
        <v>120</v>
      </c>
      <c r="G106" t="n">
        <v>101</v>
      </c>
      <c r="H106" t="n">
        <v>19</v>
      </c>
      <c r="I106" t="inlineStr">
        <is>
          <t>84.16666666666667%</t>
        </is>
      </c>
      <c r="J106" t="inlineStr">
        <is>
          <t>15.833333333333332%</t>
        </is>
      </c>
    </row>
    <row r="107">
      <c r="D107" t="inlineStr">
        <is>
          <t>Australian</t>
        </is>
      </c>
      <c r="E107" t="inlineStr">
        <is>
          <t>Medical</t>
        </is>
      </c>
      <c r="F107" t="n">
        <v>600</v>
      </c>
      <c r="G107" t="n">
        <v>504</v>
      </c>
      <c r="H107" t="n">
        <v>96</v>
      </c>
      <c r="I107" t="inlineStr">
        <is>
          <t>84.0%</t>
        </is>
      </c>
      <c r="J107" t="inlineStr">
        <is>
          <t>16.0%</t>
        </is>
      </c>
    </row>
    <row r="108">
      <c r="D108" t="inlineStr">
        <is>
          <t>Australian</t>
        </is>
      </c>
      <c r="E108" t="inlineStr">
        <is>
          <t>MedicalHelp</t>
        </is>
      </c>
      <c r="F108" t="n">
        <v>120</v>
      </c>
      <c r="G108" t="n">
        <v>106</v>
      </c>
      <c r="H108" t="n">
        <v>14</v>
      </c>
      <c r="I108" t="inlineStr">
        <is>
          <t>88.33333333333333%</t>
        </is>
      </c>
      <c r="J108" t="inlineStr">
        <is>
          <t>11.666666666666666%</t>
        </is>
      </c>
    </row>
    <row r="109">
      <c r="D109" t="inlineStr">
        <is>
          <t>Australian</t>
        </is>
      </c>
      <c r="E109" t="inlineStr">
        <is>
          <t>MemberId</t>
        </is>
      </c>
      <c r="F109" t="n">
        <v>120</v>
      </c>
      <c r="G109" t="n">
        <v>104</v>
      </c>
      <c r="H109" t="n">
        <v>16</v>
      </c>
      <c r="I109" t="inlineStr">
        <is>
          <t>86.66666666666667%</t>
        </is>
      </c>
      <c r="J109" t="inlineStr">
        <is>
          <t>13.333333333333334%</t>
        </is>
      </c>
    </row>
    <row r="110">
      <c r="D110" t="inlineStr">
        <is>
          <t>Australian</t>
        </is>
      </c>
      <c r="E110" t="inlineStr">
        <is>
          <t>Pharmacy</t>
        </is>
      </c>
      <c r="F110" t="n">
        <v>120</v>
      </c>
      <c r="G110" t="n">
        <v>106</v>
      </c>
      <c r="H110" t="n">
        <v>14</v>
      </c>
      <c r="I110" t="inlineStr">
        <is>
          <t>88.33333333333333%</t>
        </is>
      </c>
      <c r="J110" t="inlineStr">
        <is>
          <t>11.666666666666666%</t>
        </is>
      </c>
    </row>
    <row r="111">
      <c r="D111" t="inlineStr">
        <is>
          <t>Australian</t>
        </is>
      </c>
      <c r="E111" t="inlineStr">
        <is>
          <t>PreApproval</t>
        </is>
      </c>
      <c r="F111" t="n">
        <v>360</v>
      </c>
      <c r="G111" t="n">
        <v>300</v>
      </c>
      <c r="H111" t="n">
        <v>60</v>
      </c>
      <c r="I111" t="inlineStr">
        <is>
          <t>83.33333333333334%</t>
        </is>
      </c>
      <c r="J111" t="inlineStr">
        <is>
          <t>16.666666666666664%</t>
        </is>
      </c>
    </row>
    <row r="112">
      <c r="D112" t="inlineStr">
        <is>
          <t>Australian</t>
        </is>
      </c>
      <c r="E112" t="inlineStr">
        <is>
          <t>Review</t>
        </is>
      </c>
      <c r="F112" t="n">
        <v>240</v>
      </c>
      <c r="G112" t="n">
        <v>202</v>
      </c>
      <c r="H112" t="n">
        <v>38</v>
      </c>
      <c r="I112" t="inlineStr">
        <is>
          <t>84.16666666666667%</t>
        </is>
      </c>
      <c r="J112" t="inlineStr">
        <is>
          <t>15.833333333333332%</t>
        </is>
      </c>
    </row>
    <row r="113">
      <c r="D113" t="inlineStr">
        <is>
          <t>Australian</t>
        </is>
      </c>
      <c r="E113" t="inlineStr">
        <is>
          <t>Spanish</t>
        </is>
      </c>
      <c r="F113" t="n">
        <v>120</v>
      </c>
      <c r="G113" t="n">
        <v>105</v>
      </c>
      <c r="H113" t="n">
        <v>15</v>
      </c>
      <c r="I113" t="inlineStr">
        <is>
          <t>87.5%</t>
        </is>
      </c>
      <c r="J113" t="inlineStr">
        <is>
          <t>12.5%</t>
        </is>
      </c>
    </row>
    <row r="114">
      <c r="D114" t="inlineStr">
        <is>
          <t>Australian</t>
        </is>
      </c>
      <c r="E114" t="inlineStr">
        <is>
          <t>Submission</t>
        </is>
      </c>
      <c r="F114" t="n">
        <v>120</v>
      </c>
      <c r="G114" t="n">
        <v>103</v>
      </c>
      <c r="H114" t="n">
        <v>17</v>
      </c>
      <c r="I114" t="inlineStr">
        <is>
          <t>85.83333333333333%</t>
        </is>
      </c>
      <c r="J114" t="inlineStr">
        <is>
          <t>14.166666666666666%</t>
        </is>
      </c>
    </row>
    <row r="115">
      <c r="D115" t="inlineStr">
        <is>
          <t>Australian</t>
        </is>
      </c>
      <c r="E115" t="inlineStr">
        <is>
          <t>Transplants</t>
        </is>
      </c>
      <c r="F115" t="n">
        <v>120</v>
      </c>
      <c r="G115" t="n">
        <v>100</v>
      </c>
      <c r="H115" t="n">
        <v>20</v>
      </c>
      <c r="I115" t="inlineStr">
        <is>
          <t>83.33333333333334%</t>
        </is>
      </c>
      <c r="J115" t="inlineStr">
        <is>
          <t>16.666666666666664%</t>
        </is>
      </c>
    </row>
    <row r="116">
      <c r="D116" t="inlineStr">
        <is>
          <t>Australian</t>
        </is>
      </c>
      <c r="E116" t="inlineStr">
        <is>
          <t>Transportation</t>
        </is>
      </c>
      <c r="F116" t="n">
        <v>120</v>
      </c>
      <c r="G116" t="n">
        <v>103</v>
      </c>
      <c r="H116" t="n">
        <v>17</v>
      </c>
      <c r="I116" t="inlineStr">
        <is>
          <t>85.83333333333333%</t>
        </is>
      </c>
      <c r="J116" t="inlineStr">
        <is>
          <t>14.166666666666666%</t>
        </is>
      </c>
    </row>
    <row r="117">
      <c r="D117" t="inlineStr">
        <is>
          <t>Australian</t>
        </is>
      </c>
      <c r="E117" t="inlineStr">
        <is>
          <t>Travel</t>
        </is>
      </c>
      <c r="F117" t="n">
        <v>120</v>
      </c>
      <c r="G117" t="n">
        <v>102</v>
      </c>
      <c r="H117" t="n">
        <v>18</v>
      </c>
      <c r="I117" t="inlineStr">
        <is>
          <t>85.0%</t>
        </is>
      </c>
      <c r="J117" t="inlineStr">
        <is>
          <t>15.0%</t>
        </is>
      </c>
    </row>
    <row r="118">
      <c r="D118" t="inlineStr">
        <is>
          <t>Australian</t>
        </is>
      </c>
      <c r="E118" t="inlineStr">
        <is>
          <t>Verbal</t>
        </is>
      </c>
      <c r="F118" t="n">
        <v>120</v>
      </c>
      <c r="G118" t="n">
        <v>104</v>
      </c>
      <c r="H118" t="n">
        <v>16</v>
      </c>
      <c r="I118" t="inlineStr">
        <is>
          <t>86.66666666666667%</t>
        </is>
      </c>
      <c r="J118" t="inlineStr">
        <is>
          <t>13.333333333333334%</t>
        </is>
      </c>
    </row>
    <row r="119">
      <c r="D119" t="inlineStr">
        <is>
          <t>Australian</t>
        </is>
      </c>
      <c r="E119" t="inlineStr">
        <is>
          <t>Vision</t>
        </is>
      </c>
      <c r="F119" t="n">
        <v>120</v>
      </c>
      <c r="G119" t="n">
        <v>104</v>
      </c>
      <c r="H119" t="n">
        <v>16</v>
      </c>
      <c r="I119" t="inlineStr">
        <is>
          <t>86.66666666666667%</t>
        </is>
      </c>
      <c r="J119" t="inlineStr">
        <is>
          <t>13.333333333333334%</t>
        </is>
      </c>
    </row>
    <row r="120">
      <c r="D120" t="inlineStr">
        <is>
          <t>Australian</t>
        </is>
      </c>
      <c r="E120" t="inlineStr">
        <is>
          <t>Wellness</t>
        </is>
      </c>
      <c r="F120" t="n">
        <v>120</v>
      </c>
      <c r="G120" t="n">
        <v>103</v>
      </c>
      <c r="H120" t="n">
        <v>17</v>
      </c>
      <c r="I120" t="inlineStr">
        <is>
          <t>85.83333333333333%</t>
        </is>
      </c>
      <c r="J120" t="inlineStr">
        <is>
          <t>14.166666666666666%</t>
        </is>
      </c>
    </row>
    <row r="121">
      <c r="D121" t="inlineStr">
        <is>
          <t>Australian</t>
        </is>
      </c>
      <c r="E121" t="inlineStr">
        <is>
          <t>Womens</t>
        </is>
      </c>
      <c r="F121" t="n">
        <v>120</v>
      </c>
      <c r="G121" t="n">
        <v>100</v>
      </c>
      <c r="H121" t="n">
        <v>20</v>
      </c>
      <c r="I121" t="inlineStr">
        <is>
          <t>83.33333333333334%</t>
        </is>
      </c>
      <c r="J121" t="inlineStr">
        <is>
          <t>16.666666666666664%</t>
        </is>
      </c>
    </row>
    <row r="122">
      <c r="D122" t="inlineStr">
        <is>
          <t>Australian</t>
        </is>
      </c>
      <c r="E122" t="inlineStr">
        <is>
          <t>claims</t>
        </is>
      </c>
      <c r="F122" t="n">
        <v>606</v>
      </c>
      <c r="G122" t="n">
        <v>508</v>
      </c>
      <c r="H122" t="n">
        <v>98</v>
      </c>
      <c r="I122" t="inlineStr">
        <is>
          <t>83.82838283828383%</t>
        </is>
      </c>
      <c r="J122" t="inlineStr">
        <is>
          <t>16.17161716171617%</t>
        </is>
      </c>
    </row>
    <row r="123">
      <c r="D123" t="inlineStr">
        <is>
          <t>Australian</t>
        </is>
      </c>
      <c r="E123" t="inlineStr">
        <is>
          <t>cob</t>
        </is>
      </c>
      <c r="F123" t="n">
        <v>120</v>
      </c>
      <c r="G123" t="n">
        <v>106</v>
      </c>
      <c r="H123" t="n">
        <v>14</v>
      </c>
      <c r="I123" t="inlineStr">
        <is>
          <t>88.33333333333333%</t>
        </is>
      </c>
      <c r="J123" t="inlineStr">
        <is>
          <t>11.666666666666666%</t>
        </is>
      </c>
    </row>
    <row r="124">
      <c r="D124" t="inlineStr">
        <is>
          <t>Australian</t>
        </is>
      </c>
      <c r="E124" t="inlineStr">
        <is>
          <t>contact</t>
        </is>
      </c>
      <c r="F124" t="n">
        <v>120</v>
      </c>
      <c r="G124" t="n">
        <v>100</v>
      </c>
      <c r="H124" t="n">
        <v>20</v>
      </c>
      <c r="I124" t="inlineStr">
        <is>
          <t>83.33333333333334%</t>
        </is>
      </c>
      <c r="J124" t="inlineStr">
        <is>
          <t>16.666666666666664%</t>
        </is>
      </c>
    </row>
    <row r="125">
      <c r="D125" t="inlineStr">
        <is>
          <t>Australian</t>
        </is>
      </c>
      <c r="E125" t="inlineStr">
        <is>
          <t>employeeAssistance</t>
        </is>
      </c>
      <c r="F125" t="n">
        <v>360</v>
      </c>
      <c r="G125" t="n">
        <v>301</v>
      </c>
      <c r="H125" t="n">
        <v>59</v>
      </c>
      <c r="I125" t="inlineStr">
        <is>
          <t>83.61111111111111%</t>
        </is>
      </c>
      <c r="J125" t="inlineStr">
        <is>
          <t>16.38888888888889%</t>
        </is>
      </c>
    </row>
    <row r="126">
      <c r="D126" t="inlineStr">
        <is>
          <t>Australian</t>
        </is>
      </c>
      <c r="E126" t="inlineStr">
        <is>
          <t>financialAccount</t>
        </is>
      </c>
      <c r="F126" t="n">
        <v>120</v>
      </c>
      <c r="G126" t="n">
        <v>104</v>
      </c>
      <c r="H126" t="n">
        <v>16</v>
      </c>
      <c r="I126" t="inlineStr">
        <is>
          <t>86.66666666666667%</t>
        </is>
      </c>
      <c r="J126" t="inlineStr">
        <is>
          <t>13.333333333333334%</t>
        </is>
      </c>
    </row>
    <row r="127">
      <c r="D127" t="inlineStr">
        <is>
          <t>Australian</t>
        </is>
      </c>
      <c r="E127" t="inlineStr">
        <is>
          <t>preApproval</t>
        </is>
      </c>
      <c r="F127" t="n">
        <v>360</v>
      </c>
      <c r="G127" t="n">
        <v>311</v>
      </c>
      <c r="H127" t="n">
        <v>49</v>
      </c>
      <c r="I127" t="inlineStr">
        <is>
          <t>86.38888888888889%</t>
        </is>
      </c>
      <c r="J127" t="inlineStr">
        <is>
          <t>13.61111111111111%</t>
        </is>
      </c>
    </row>
    <row r="128">
      <c r="D128" t="inlineStr">
        <is>
          <t>Australian</t>
        </is>
      </c>
      <c r="E128" t="inlineStr">
        <is>
          <t>websiteSupport</t>
        </is>
      </c>
      <c r="F128" t="n">
        <v>240</v>
      </c>
      <c r="G128" t="n">
        <v>202</v>
      </c>
      <c r="H128" t="n">
        <v>38</v>
      </c>
      <c r="I128" t="inlineStr">
        <is>
          <t>84.16666666666667%</t>
        </is>
      </c>
      <c r="J128" t="inlineStr">
        <is>
          <t>15.833333333333332%</t>
        </is>
      </c>
    </row>
    <row r="129">
      <c r="D129" s="17" t="inlineStr">
        <is>
          <t>Total</t>
        </is>
      </c>
      <c r="F129" s="17" t="n">
        <v>9642</v>
      </c>
      <c r="G129" s="17" t="n">
        <v>8194</v>
      </c>
      <c r="H129" s="17" t="n">
        <v>1448</v>
      </c>
      <c r="I129" s="17" t="inlineStr">
        <is>
          <t>84.9824%</t>
        </is>
      </c>
      <c r="J129" s="17" t="inlineStr">
        <is>
          <t>15.0176%</t>
        </is>
      </c>
    </row>
    <row r="130">
      <c r="A130" s="16" t="n"/>
      <c r="B130" s="16" t="n"/>
      <c r="C130" s="16" t="n"/>
      <c r="D130" s="16" t="inlineStr">
        <is>
          <t>Chinese</t>
        </is>
      </c>
      <c r="E130" s="16" t="inlineStr">
        <is>
          <t>ABA</t>
        </is>
      </c>
      <c r="F130" s="16" t="n">
        <v>120</v>
      </c>
      <c r="G130" s="16" t="n">
        <v>103</v>
      </c>
      <c r="H130" s="16" t="n">
        <v>17</v>
      </c>
      <c r="I130" s="16" t="inlineStr">
        <is>
          <t>85.8333%</t>
        </is>
      </c>
      <c r="J130" s="16" t="inlineStr">
        <is>
          <t>14.1667%</t>
        </is>
      </c>
    </row>
    <row r="131">
      <c r="D131" t="inlineStr">
        <is>
          <t>Chinese</t>
        </is>
      </c>
      <c r="E131" t="inlineStr">
        <is>
          <t>Address</t>
        </is>
      </c>
      <c r="F131" t="n">
        <v>120</v>
      </c>
      <c r="G131" t="n">
        <v>100</v>
      </c>
      <c r="H131" t="n">
        <v>20</v>
      </c>
      <c r="I131" t="inlineStr">
        <is>
          <t>83.33333333333334%</t>
        </is>
      </c>
      <c r="J131" t="inlineStr">
        <is>
          <t>16.666666666666664%</t>
        </is>
      </c>
    </row>
    <row r="132">
      <c r="D132" t="inlineStr">
        <is>
          <t>Chinese</t>
        </is>
      </c>
      <c r="E132" t="inlineStr">
        <is>
          <t>Agent</t>
        </is>
      </c>
      <c r="F132" t="n">
        <v>720</v>
      </c>
      <c r="G132" t="n">
        <v>604</v>
      </c>
      <c r="H132" t="n">
        <v>116</v>
      </c>
      <c r="I132" t="inlineStr">
        <is>
          <t>83.88888888888889%</t>
        </is>
      </c>
      <c r="J132" t="inlineStr">
        <is>
          <t>16.11111111111111%</t>
        </is>
      </c>
    </row>
    <row r="133">
      <c r="D133" t="inlineStr">
        <is>
          <t>Chinese</t>
        </is>
      </c>
      <c r="E133" t="inlineStr">
        <is>
          <t>Agreement</t>
        </is>
      </c>
      <c r="F133" t="n">
        <v>120</v>
      </c>
      <c r="G133" t="n">
        <v>100</v>
      </c>
      <c r="H133" t="n">
        <v>20</v>
      </c>
      <c r="I133" t="inlineStr">
        <is>
          <t>83.33333333333334%</t>
        </is>
      </c>
      <c r="J133" t="inlineStr">
        <is>
          <t>16.666666666666664%</t>
        </is>
      </c>
    </row>
    <row r="134">
      <c r="D134" t="inlineStr">
        <is>
          <t>Chinese</t>
        </is>
      </c>
      <c r="E134" t="inlineStr">
        <is>
          <t>Appointment</t>
        </is>
      </c>
      <c r="F134" t="n">
        <v>120</v>
      </c>
      <c r="G134" t="n">
        <v>106</v>
      </c>
      <c r="H134" t="n">
        <v>14</v>
      </c>
      <c r="I134" t="inlineStr">
        <is>
          <t>88.33333333333333%</t>
        </is>
      </c>
      <c r="J134" t="inlineStr">
        <is>
          <t>11.666666666666666%</t>
        </is>
      </c>
    </row>
    <row r="135">
      <c r="D135" t="inlineStr">
        <is>
          <t>Chinese</t>
        </is>
      </c>
      <c r="E135" t="inlineStr">
        <is>
          <t>Benefits</t>
        </is>
      </c>
      <c r="F135" t="n">
        <v>396</v>
      </c>
      <c r="G135" t="n">
        <v>330</v>
      </c>
      <c r="H135" t="n">
        <v>66</v>
      </c>
      <c r="I135" t="inlineStr">
        <is>
          <t>83.33333333333334%</t>
        </is>
      </c>
      <c r="J135" t="inlineStr">
        <is>
          <t>16.666666666666664%</t>
        </is>
      </c>
    </row>
    <row r="136">
      <c r="D136" t="inlineStr">
        <is>
          <t>Chinese</t>
        </is>
      </c>
      <c r="E136" t="inlineStr">
        <is>
          <t>Cancel</t>
        </is>
      </c>
      <c r="F136" t="n">
        <v>120</v>
      </c>
      <c r="G136" t="n">
        <v>101</v>
      </c>
      <c r="H136" t="n">
        <v>19</v>
      </c>
      <c r="I136" t="inlineStr">
        <is>
          <t>84.16666666666667%</t>
        </is>
      </c>
      <c r="J136" t="inlineStr">
        <is>
          <t>15.833333333333332%</t>
        </is>
      </c>
    </row>
    <row r="137">
      <c r="D137" t="inlineStr">
        <is>
          <t>Chinese</t>
        </is>
      </c>
      <c r="E137" t="inlineStr">
        <is>
          <t>Cancer</t>
        </is>
      </c>
      <c r="F137" t="n">
        <v>120</v>
      </c>
      <c r="G137" t="n">
        <v>106</v>
      </c>
      <c r="H137" t="n">
        <v>14</v>
      </c>
      <c r="I137" t="inlineStr">
        <is>
          <t>88.33333333333333%</t>
        </is>
      </c>
      <c r="J137" t="inlineStr">
        <is>
          <t>11.666666666666666%</t>
        </is>
      </c>
    </row>
    <row r="138">
      <c r="D138" t="inlineStr">
        <is>
          <t>Chinese</t>
        </is>
      </c>
      <c r="E138" t="inlineStr">
        <is>
          <t>Cards</t>
        </is>
      </c>
      <c r="F138" t="n">
        <v>120</v>
      </c>
      <c r="G138" t="n">
        <v>105</v>
      </c>
      <c r="H138" t="n">
        <v>15</v>
      </c>
      <c r="I138" t="inlineStr">
        <is>
          <t>87.5%</t>
        </is>
      </c>
      <c r="J138" t="inlineStr">
        <is>
          <t>12.5%</t>
        </is>
      </c>
    </row>
    <row r="139">
      <c r="D139" t="inlineStr">
        <is>
          <t>Chinese</t>
        </is>
      </c>
      <c r="E139" t="inlineStr">
        <is>
          <t>Clinical</t>
        </is>
      </c>
      <c r="F139" t="n">
        <v>360</v>
      </c>
      <c r="G139" t="n">
        <v>306</v>
      </c>
      <c r="H139" t="n">
        <v>54</v>
      </c>
      <c r="I139" t="inlineStr">
        <is>
          <t>85.0%</t>
        </is>
      </c>
      <c r="J139" t="inlineStr">
        <is>
          <t>15.0%</t>
        </is>
      </c>
    </row>
    <row r="140">
      <c r="D140" t="inlineStr">
        <is>
          <t>Chinese</t>
        </is>
      </c>
      <c r="E140" t="inlineStr">
        <is>
          <t>Contact</t>
        </is>
      </c>
      <c r="F140" t="n">
        <v>240</v>
      </c>
      <c r="G140" t="n">
        <v>208</v>
      </c>
      <c r="H140" t="n">
        <v>32</v>
      </c>
      <c r="I140" t="inlineStr">
        <is>
          <t>86.66666666666667%</t>
        </is>
      </c>
      <c r="J140" t="inlineStr">
        <is>
          <t>13.333333333333334%</t>
        </is>
      </c>
    </row>
    <row r="141">
      <c r="D141" t="inlineStr">
        <is>
          <t>Chinese</t>
        </is>
      </c>
      <c r="E141" t="inlineStr">
        <is>
          <t>Credentialing</t>
        </is>
      </c>
      <c r="F141" t="n">
        <v>120</v>
      </c>
      <c r="G141" t="n">
        <v>103</v>
      </c>
      <c r="H141" t="n">
        <v>17</v>
      </c>
      <c r="I141" t="inlineStr">
        <is>
          <t>85.83333333333333%</t>
        </is>
      </c>
      <c r="J141" t="inlineStr">
        <is>
          <t>14.166666666666666%</t>
        </is>
      </c>
    </row>
    <row r="142">
      <c r="D142" t="inlineStr">
        <is>
          <t>Chinese</t>
        </is>
      </c>
      <c r="E142" t="inlineStr">
        <is>
          <t>DemographicUpdate</t>
        </is>
      </c>
      <c r="F142" t="n">
        <v>120</v>
      </c>
      <c r="G142" t="n">
        <v>104</v>
      </c>
      <c r="H142" t="n">
        <v>16</v>
      </c>
      <c r="I142" t="inlineStr">
        <is>
          <t>86.66666666666667%</t>
        </is>
      </c>
      <c r="J142" t="inlineStr">
        <is>
          <t>13.333333333333334%</t>
        </is>
      </c>
    </row>
    <row r="143">
      <c r="D143" t="inlineStr">
        <is>
          <t>Chinese</t>
        </is>
      </c>
      <c r="E143" t="inlineStr">
        <is>
          <t>Dental</t>
        </is>
      </c>
      <c r="F143" t="n">
        <v>120</v>
      </c>
      <c r="G143" t="n">
        <v>103</v>
      </c>
      <c r="H143" t="n">
        <v>17</v>
      </c>
      <c r="I143" t="inlineStr">
        <is>
          <t>85.83333333333333%</t>
        </is>
      </c>
      <c r="J143" t="inlineStr">
        <is>
          <t>14.166666666666666%</t>
        </is>
      </c>
    </row>
    <row r="144">
      <c r="D144" t="inlineStr">
        <is>
          <t>Chinese</t>
        </is>
      </c>
      <c r="E144" t="inlineStr">
        <is>
          <t>DisAmBig</t>
        </is>
      </c>
      <c r="F144" t="n">
        <v>360</v>
      </c>
      <c r="G144" t="n">
        <v>303</v>
      </c>
      <c r="H144" t="n">
        <v>57</v>
      </c>
      <c r="I144" t="inlineStr">
        <is>
          <t>84.16666666666667%</t>
        </is>
      </c>
      <c r="J144" t="inlineStr">
        <is>
          <t>15.833333333333332%</t>
        </is>
      </c>
    </row>
    <row r="145">
      <c r="D145" t="inlineStr">
        <is>
          <t>Chinese</t>
        </is>
      </c>
      <c r="E145" t="inlineStr">
        <is>
          <t>Disability</t>
        </is>
      </c>
      <c r="F145" t="n">
        <v>120</v>
      </c>
      <c r="G145" t="n">
        <v>100</v>
      </c>
      <c r="H145" t="n">
        <v>20</v>
      </c>
      <c r="I145" t="inlineStr">
        <is>
          <t>83.33333333333334%</t>
        </is>
      </c>
      <c r="J145" t="inlineStr">
        <is>
          <t>16.666666666666664%</t>
        </is>
      </c>
    </row>
    <row r="146">
      <c r="D146" t="inlineStr">
        <is>
          <t>Chinese</t>
        </is>
      </c>
      <c r="E146" t="inlineStr">
        <is>
          <t>Discharge</t>
        </is>
      </c>
      <c r="F146" t="n">
        <v>120</v>
      </c>
      <c r="G146" t="n">
        <v>102</v>
      </c>
      <c r="H146" t="n">
        <v>18</v>
      </c>
      <c r="I146" t="inlineStr">
        <is>
          <t>85.0%</t>
        </is>
      </c>
      <c r="J146" t="inlineStr">
        <is>
          <t>15.0%</t>
        </is>
      </c>
    </row>
    <row r="147">
      <c r="D147" t="inlineStr">
        <is>
          <t>Chinese</t>
        </is>
      </c>
      <c r="E147" t="inlineStr">
        <is>
          <t>Doctor</t>
        </is>
      </c>
      <c r="F147" t="n">
        <v>480</v>
      </c>
      <c r="G147" t="n">
        <v>414</v>
      </c>
      <c r="H147" t="n">
        <v>66</v>
      </c>
      <c r="I147" t="inlineStr">
        <is>
          <t>86.25%</t>
        </is>
      </c>
      <c r="J147" t="inlineStr">
        <is>
          <t>13.750000000000002%</t>
        </is>
      </c>
    </row>
    <row r="148">
      <c r="D148" t="inlineStr">
        <is>
          <t>Chinese</t>
        </is>
      </c>
      <c r="E148" t="inlineStr">
        <is>
          <t>EFT</t>
        </is>
      </c>
      <c r="F148" t="n">
        <v>120</v>
      </c>
      <c r="G148" t="n">
        <v>102</v>
      </c>
      <c r="H148" t="n">
        <v>18</v>
      </c>
      <c r="I148" t="inlineStr">
        <is>
          <t>85.0%</t>
        </is>
      </c>
      <c r="J148" t="inlineStr">
        <is>
          <t>15.0%</t>
        </is>
      </c>
    </row>
    <row r="149">
      <c r="D149" t="inlineStr">
        <is>
          <t>Chinese</t>
        </is>
      </c>
      <c r="E149" t="inlineStr">
        <is>
          <t>Emergency</t>
        </is>
      </c>
      <c r="F149" t="n">
        <v>120</v>
      </c>
      <c r="G149" t="n">
        <v>102</v>
      </c>
      <c r="H149" t="n">
        <v>18</v>
      </c>
      <c r="I149" t="inlineStr">
        <is>
          <t>85.0%</t>
        </is>
      </c>
      <c r="J149" t="inlineStr">
        <is>
          <t>15.0%</t>
        </is>
      </c>
    </row>
    <row r="150">
      <c r="D150" t="inlineStr">
        <is>
          <t>Chinese</t>
        </is>
      </c>
      <c r="E150" t="inlineStr">
        <is>
          <t>Enrollment</t>
        </is>
      </c>
      <c r="F150" t="n">
        <v>120</v>
      </c>
      <c r="G150" t="n">
        <v>101</v>
      </c>
      <c r="H150" t="n">
        <v>19</v>
      </c>
      <c r="I150" t="inlineStr">
        <is>
          <t>84.16666666666667%</t>
        </is>
      </c>
      <c r="J150" t="inlineStr">
        <is>
          <t>15.833333333333332%</t>
        </is>
      </c>
    </row>
    <row r="151">
      <c r="D151" t="inlineStr">
        <is>
          <t>Chinese</t>
        </is>
      </c>
      <c r="E151" t="inlineStr">
        <is>
          <t>Extension</t>
        </is>
      </c>
      <c r="F151" t="n">
        <v>120</v>
      </c>
      <c r="G151" t="n">
        <v>100</v>
      </c>
      <c r="H151" t="n">
        <v>20</v>
      </c>
      <c r="I151" t="inlineStr">
        <is>
          <t>83.33333333333334%</t>
        </is>
      </c>
      <c r="J151" t="inlineStr">
        <is>
          <t>16.666666666666664%</t>
        </is>
      </c>
    </row>
    <row r="152">
      <c r="D152" t="inlineStr">
        <is>
          <t>Chinese</t>
        </is>
      </c>
      <c r="E152" t="inlineStr">
        <is>
          <t>Fax</t>
        </is>
      </c>
      <c r="F152" t="n">
        <v>120</v>
      </c>
      <c r="G152" t="n">
        <v>104</v>
      </c>
      <c r="H152" t="n">
        <v>16</v>
      </c>
      <c r="I152" t="inlineStr">
        <is>
          <t>86.66666666666667%</t>
        </is>
      </c>
      <c r="J152" t="inlineStr">
        <is>
          <t>13.333333333333334%</t>
        </is>
      </c>
    </row>
    <row r="153">
      <c r="D153" t="inlineStr">
        <is>
          <t>Chinese</t>
        </is>
      </c>
      <c r="E153" t="inlineStr">
        <is>
          <t>Fee</t>
        </is>
      </c>
      <c r="F153" t="n">
        <v>120</v>
      </c>
      <c r="G153" t="n">
        <v>100</v>
      </c>
      <c r="H153" t="n">
        <v>20</v>
      </c>
      <c r="I153" t="inlineStr">
        <is>
          <t>83.33333333333334%</t>
        </is>
      </c>
      <c r="J153" t="inlineStr">
        <is>
          <t>16.666666666666664%</t>
        </is>
      </c>
    </row>
    <row r="154">
      <c r="D154" t="inlineStr">
        <is>
          <t>Chinese</t>
        </is>
      </c>
      <c r="E154" t="inlineStr">
        <is>
          <t>Fraud</t>
        </is>
      </c>
      <c r="F154" t="n">
        <v>120</v>
      </c>
      <c r="G154" t="n">
        <v>106</v>
      </c>
      <c r="H154" t="n">
        <v>14</v>
      </c>
      <c r="I154" t="inlineStr">
        <is>
          <t>88.33333333333333%</t>
        </is>
      </c>
      <c r="J154" t="inlineStr">
        <is>
          <t>11.666666666666666%</t>
        </is>
      </c>
    </row>
    <row r="155">
      <c r="D155" t="inlineStr">
        <is>
          <t>Chinese</t>
        </is>
      </c>
      <c r="E155" t="inlineStr">
        <is>
          <t>LeaveOfAbsence</t>
        </is>
      </c>
      <c r="F155" t="n">
        <v>120</v>
      </c>
      <c r="G155" t="n">
        <v>100</v>
      </c>
      <c r="H155" t="n">
        <v>20</v>
      </c>
      <c r="I155" t="inlineStr">
        <is>
          <t>83.33333333333334%</t>
        </is>
      </c>
      <c r="J155" t="inlineStr">
        <is>
          <t>16.666666666666664%</t>
        </is>
      </c>
    </row>
    <row r="156">
      <c r="D156" t="inlineStr">
        <is>
          <t>Chinese</t>
        </is>
      </c>
      <c r="E156" t="inlineStr">
        <is>
          <t>LegalFinancial</t>
        </is>
      </c>
      <c r="F156" t="n">
        <v>120</v>
      </c>
      <c r="G156" t="n">
        <v>104</v>
      </c>
      <c r="H156" t="n">
        <v>16</v>
      </c>
      <c r="I156" t="inlineStr">
        <is>
          <t>86.66666666666667%</t>
        </is>
      </c>
      <c r="J156" t="inlineStr">
        <is>
          <t>13.333333333333334%</t>
        </is>
      </c>
    </row>
    <row r="157">
      <c r="D157" t="inlineStr">
        <is>
          <t>Chinese</t>
        </is>
      </c>
      <c r="E157" t="inlineStr">
        <is>
          <t>Medical</t>
        </is>
      </c>
      <c r="F157" t="n">
        <v>600</v>
      </c>
      <c r="G157" t="n">
        <v>505</v>
      </c>
      <c r="H157" t="n">
        <v>95</v>
      </c>
      <c r="I157" t="inlineStr">
        <is>
          <t>84.16666666666667%</t>
        </is>
      </c>
      <c r="J157" t="inlineStr">
        <is>
          <t>15.833333333333332%</t>
        </is>
      </c>
    </row>
    <row r="158">
      <c r="D158" t="inlineStr">
        <is>
          <t>Chinese</t>
        </is>
      </c>
      <c r="E158" t="inlineStr">
        <is>
          <t>MedicalHelp</t>
        </is>
      </c>
      <c r="F158" t="n">
        <v>120</v>
      </c>
      <c r="G158" t="n">
        <v>106</v>
      </c>
      <c r="H158" t="n">
        <v>14</v>
      </c>
      <c r="I158" t="inlineStr">
        <is>
          <t>88.33333333333333%</t>
        </is>
      </c>
      <c r="J158" t="inlineStr">
        <is>
          <t>11.666666666666666%</t>
        </is>
      </c>
    </row>
    <row r="159">
      <c r="D159" t="inlineStr">
        <is>
          <t>Chinese</t>
        </is>
      </c>
      <c r="E159" t="inlineStr">
        <is>
          <t>MemberId</t>
        </is>
      </c>
      <c r="F159" t="n">
        <v>120</v>
      </c>
      <c r="G159" t="n">
        <v>103</v>
      </c>
      <c r="H159" t="n">
        <v>17</v>
      </c>
      <c r="I159" t="inlineStr">
        <is>
          <t>85.83333333333333%</t>
        </is>
      </c>
      <c r="J159" t="inlineStr">
        <is>
          <t>14.166666666666666%</t>
        </is>
      </c>
    </row>
    <row r="160">
      <c r="D160" t="inlineStr">
        <is>
          <t>Chinese</t>
        </is>
      </c>
      <c r="E160" t="inlineStr">
        <is>
          <t>Pharmacy</t>
        </is>
      </c>
      <c r="F160" t="n">
        <v>120</v>
      </c>
      <c r="G160" t="n">
        <v>101</v>
      </c>
      <c r="H160" t="n">
        <v>19</v>
      </c>
      <c r="I160" t="inlineStr">
        <is>
          <t>84.16666666666667%</t>
        </is>
      </c>
      <c r="J160" t="inlineStr">
        <is>
          <t>15.833333333333332%</t>
        </is>
      </c>
    </row>
    <row r="161">
      <c r="D161" t="inlineStr">
        <is>
          <t>Chinese</t>
        </is>
      </c>
      <c r="E161" t="inlineStr">
        <is>
          <t>PreApproval</t>
        </is>
      </c>
      <c r="F161" t="n">
        <v>360</v>
      </c>
      <c r="G161" t="n">
        <v>304</v>
      </c>
      <c r="H161" t="n">
        <v>56</v>
      </c>
      <c r="I161" t="inlineStr">
        <is>
          <t>84.44444444444444%</t>
        </is>
      </c>
      <c r="J161" t="inlineStr">
        <is>
          <t>15.555555555555555%</t>
        </is>
      </c>
    </row>
    <row r="162">
      <c r="D162" t="inlineStr">
        <is>
          <t>Chinese</t>
        </is>
      </c>
      <c r="E162" t="inlineStr">
        <is>
          <t>Review</t>
        </is>
      </c>
      <c r="F162" t="n">
        <v>240</v>
      </c>
      <c r="G162" t="n">
        <v>205</v>
      </c>
      <c r="H162" t="n">
        <v>35</v>
      </c>
      <c r="I162" t="inlineStr">
        <is>
          <t>85.41666666666666%</t>
        </is>
      </c>
      <c r="J162" t="inlineStr">
        <is>
          <t>14.583333333333334%</t>
        </is>
      </c>
    </row>
    <row r="163">
      <c r="D163" t="inlineStr">
        <is>
          <t>Chinese</t>
        </is>
      </c>
      <c r="E163" t="inlineStr">
        <is>
          <t>Spanish</t>
        </is>
      </c>
      <c r="F163" t="n">
        <v>120</v>
      </c>
      <c r="G163" t="n">
        <v>105</v>
      </c>
      <c r="H163" t="n">
        <v>15</v>
      </c>
      <c r="I163" t="inlineStr">
        <is>
          <t>87.5%</t>
        </is>
      </c>
      <c r="J163" t="inlineStr">
        <is>
          <t>12.5%</t>
        </is>
      </c>
    </row>
    <row r="164">
      <c r="D164" t="inlineStr">
        <is>
          <t>Chinese</t>
        </is>
      </c>
      <c r="E164" t="inlineStr">
        <is>
          <t>Submission</t>
        </is>
      </c>
      <c r="F164" t="n">
        <v>120</v>
      </c>
      <c r="G164" t="n">
        <v>100</v>
      </c>
      <c r="H164" t="n">
        <v>20</v>
      </c>
      <c r="I164" t="inlineStr">
        <is>
          <t>83.33333333333334%</t>
        </is>
      </c>
      <c r="J164" t="inlineStr">
        <is>
          <t>16.666666666666664%</t>
        </is>
      </c>
    </row>
    <row r="165">
      <c r="D165" t="inlineStr">
        <is>
          <t>Chinese</t>
        </is>
      </c>
      <c r="E165" t="inlineStr">
        <is>
          <t>Transplants</t>
        </is>
      </c>
      <c r="F165" t="n">
        <v>120</v>
      </c>
      <c r="G165" t="n">
        <v>100</v>
      </c>
      <c r="H165" t="n">
        <v>20</v>
      </c>
      <c r="I165" t="inlineStr">
        <is>
          <t>83.33333333333334%</t>
        </is>
      </c>
      <c r="J165" t="inlineStr">
        <is>
          <t>16.666666666666664%</t>
        </is>
      </c>
    </row>
    <row r="166">
      <c r="D166" t="inlineStr">
        <is>
          <t>Chinese</t>
        </is>
      </c>
      <c r="E166" t="inlineStr">
        <is>
          <t>Transportation</t>
        </is>
      </c>
      <c r="F166" t="n">
        <v>120</v>
      </c>
      <c r="G166" t="n">
        <v>104</v>
      </c>
      <c r="H166" t="n">
        <v>16</v>
      </c>
      <c r="I166" t="inlineStr">
        <is>
          <t>86.66666666666667%</t>
        </is>
      </c>
      <c r="J166" t="inlineStr">
        <is>
          <t>13.333333333333334%</t>
        </is>
      </c>
    </row>
    <row r="167">
      <c r="D167" t="inlineStr">
        <is>
          <t>Chinese</t>
        </is>
      </c>
      <c r="E167" t="inlineStr">
        <is>
          <t>Travel</t>
        </is>
      </c>
      <c r="F167" t="n">
        <v>120</v>
      </c>
      <c r="G167" t="n">
        <v>100</v>
      </c>
      <c r="H167" t="n">
        <v>20</v>
      </c>
      <c r="I167" t="inlineStr">
        <is>
          <t>83.33333333333334%</t>
        </is>
      </c>
      <c r="J167" t="inlineStr">
        <is>
          <t>16.666666666666664%</t>
        </is>
      </c>
    </row>
    <row r="168">
      <c r="D168" t="inlineStr">
        <is>
          <t>Chinese</t>
        </is>
      </c>
      <c r="E168" t="inlineStr">
        <is>
          <t>Verbal</t>
        </is>
      </c>
      <c r="F168" t="n">
        <v>120</v>
      </c>
      <c r="G168" t="n">
        <v>107</v>
      </c>
      <c r="H168" t="n">
        <v>13</v>
      </c>
      <c r="I168" t="inlineStr">
        <is>
          <t>89.16666666666667%</t>
        </is>
      </c>
      <c r="J168" t="inlineStr">
        <is>
          <t>10.833333333333334%</t>
        </is>
      </c>
    </row>
    <row r="169">
      <c r="D169" t="inlineStr">
        <is>
          <t>Chinese</t>
        </is>
      </c>
      <c r="E169" t="inlineStr">
        <is>
          <t>Vision</t>
        </is>
      </c>
      <c r="F169" t="n">
        <v>120</v>
      </c>
      <c r="G169" t="n">
        <v>106</v>
      </c>
      <c r="H169" t="n">
        <v>14</v>
      </c>
      <c r="I169" t="inlineStr">
        <is>
          <t>88.33333333333333%</t>
        </is>
      </c>
      <c r="J169" t="inlineStr">
        <is>
          <t>11.666666666666666%</t>
        </is>
      </c>
    </row>
    <row r="170">
      <c r="D170" t="inlineStr">
        <is>
          <t>Chinese</t>
        </is>
      </c>
      <c r="E170" t="inlineStr">
        <is>
          <t>Wellness</t>
        </is>
      </c>
      <c r="F170" t="n">
        <v>120</v>
      </c>
      <c r="G170" t="n">
        <v>100</v>
      </c>
      <c r="H170" t="n">
        <v>20</v>
      </c>
      <c r="I170" t="inlineStr">
        <is>
          <t>83.33333333333334%</t>
        </is>
      </c>
      <c r="J170" t="inlineStr">
        <is>
          <t>16.666666666666664%</t>
        </is>
      </c>
    </row>
    <row r="171">
      <c r="D171" t="inlineStr">
        <is>
          <t>Chinese</t>
        </is>
      </c>
      <c r="E171" t="inlineStr">
        <is>
          <t>Womens</t>
        </is>
      </c>
      <c r="F171" t="n">
        <v>120</v>
      </c>
      <c r="G171" t="n">
        <v>100</v>
      </c>
      <c r="H171" t="n">
        <v>20</v>
      </c>
      <c r="I171" t="inlineStr">
        <is>
          <t>83.33333333333334%</t>
        </is>
      </c>
      <c r="J171" t="inlineStr">
        <is>
          <t>16.666666666666664%</t>
        </is>
      </c>
    </row>
    <row r="172">
      <c r="D172" t="inlineStr">
        <is>
          <t>Chinese</t>
        </is>
      </c>
      <c r="E172" t="inlineStr">
        <is>
          <t>claims</t>
        </is>
      </c>
      <c r="F172" t="n">
        <v>606</v>
      </c>
      <c r="G172" t="n">
        <v>504</v>
      </c>
      <c r="H172" t="n">
        <v>102</v>
      </c>
      <c r="I172" t="inlineStr">
        <is>
          <t>83.16831683168317%</t>
        </is>
      </c>
      <c r="J172" t="inlineStr">
        <is>
          <t>16.831683168316832%</t>
        </is>
      </c>
    </row>
    <row r="173">
      <c r="D173" t="inlineStr">
        <is>
          <t>Chinese</t>
        </is>
      </c>
      <c r="E173" t="inlineStr">
        <is>
          <t>cob</t>
        </is>
      </c>
      <c r="F173" t="n">
        <v>120</v>
      </c>
      <c r="G173" t="n">
        <v>104</v>
      </c>
      <c r="H173" t="n">
        <v>16</v>
      </c>
      <c r="I173" t="inlineStr">
        <is>
          <t>86.66666666666667%</t>
        </is>
      </c>
      <c r="J173" t="inlineStr">
        <is>
          <t>13.333333333333334%</t>
        </is>
      </c>
    </row>
    <row r="174">
      <c r="D174" t="inlineStr">
        <is>
          <t>Chinese</t>
        </is>
      </c>
      <c r="E174" t="inlineStr">
        <is>
          <t>contact</t>
        </is>
      </c>
      <c r="F174" t="n">
        <v>120</v>
      </c>
      <c r="G174" t="n">
        <v>101</v>
      </c>
      <c r="H174" t="n">
        <v>19</v>
      </c>
      <c r="I174" t="inlineStr">
        <is>
          <t>84.16666666666667%</t>
        </is>
      </c>
      <c r="J174" t="inlineStr">
        <is>
          <t>15.833333333333332%</t>
        </is>
      </c>
    </row>
    <row r="175">
      <c r="D175" t="inlineStr">
        <is>
          <t>Chinese</t>
        </is>
      </c>
      <c r="E175" t="inlineStr">
        <is>
          <t>employeeAssistance</t>
        </is>
      </c>
      <c r="F175" t="n">
        <v>360</v>
      </c>
      <c r="G175" t="n">
        <v>305</v>
      </c>
      <c r="H175" t="n">
        <v>55</v>
      </c>
      <c r="I175" t="inlineStr">
        <is>
          <t>84.72222222222221%</t>
        </is>
      </c>
      <c r="J175" t="inlineStr">
        <is>
          <t>15.277777777777779%</t>
        </is>
      </c>
    </row>
    <row r="176">
      <c r="D176" t="inlineStr">
        <is>
          <t>Chinese</t>
        </is>
      </c>
      <c r="E176" t="inlineStr">
        <is>
          <t>financialAccount</t>
        </is>
      </c>
      <c r="F176" t="n">
        <v>120</v>
      </c>
      <c r="G176" t="n">
        <v>102</v>
      </c>
      <c r="H176" t="n">
        <v>18</v>
      </c>
      <c r="I176" t="inlineStr">
        <is>
          <t>85.0%</t>
        </is>
      </c>
      <c r="J176" t="inlineStr">
        <is>
          <t>15.0%</t>
        </is>
      </c>
    </row>
    <row r="177">
      <c r="D177" t="inlineStr">
        <is>
          <t>Chinese</t>
        </is>
      </c>
      <c r="E177" t="inlineStr">
        <is>
          <t>preApproval</t>
        </is>
      </c>
      <c r="F177" t="n">
        <v>360</v>
      </c>
      <c r="G177" t="n">
        <v>311</v>
      </c>
      <c r="H177" t="n">
        <v>49</v>
      </c>
      <c r="I177" t="inlineStr">
        <is>
          <t>86.38888888888889%</t>
        </is>
      </c>
      <c r="J177" t="inlineStr">
        <is>
          <t>13.61111111111111%</t>
        </is>
      </c>
    </row>
    <row r="178">
      <c r="D178" t="inlineStr">
        <is>
          <t>Chinese</t>
        </is>
      </c>
      <c r="E178" t="inlineStr">
        <is>
          <t>websiteSupport</t>
        </is>
      </c>
      <c r="F178" t="n">
        <v>240</v>
      </c>
      <c r="G178" t="n">
        <v>206</v>
      </c>
      <c r="H178" t="n">
        <v>34</v>
      </c>
      <c r="I178" t="inlineStr">
        <is>
          <t>85.83333333333333%</t>
        </is>
      </c>
      <c r="J178" t="inlineStr">
        <is>
          <t>14.166666666666666%</t>
        </is>
      </c>
    </row>
    <row r="179">
      <c r="D179" s="17" t="inlineStr">
        <is>
          <t>Total</t>
        </is>
      </c>
      <c r="F179" s="17" t="n">
        <v>9642</v>
      </c>
      <c r="G179" s="17" t="n">
        <v>8196</v>
      </c>
      <c r="H179" s="17" t="n">
        <v>1446</v>
      </c>
      <c r="I179" s="17" t="inlineStr">
        <is>
          <t>85.0031%</t>
        </is>
      </c>
      <c r="J179" s="17" t="inlineStr">
        <is>
          <t>14.9969%</t>
        </is>
      </c>
    </row>
    <row r="180">
      <c r="D180" s="17" t="inlineStr">
        <is>
          <t>Total</t>
        </is>
      </c>
      <c r="E180" t="inlineStr">
        <is>
          <t>ABA</t>
        </is>
      </c>
      <c r="F180" s="17" t="n">
        <v>9642</v>
      </c>
      <c r="G180" s="17" t="n">
        <v>8196</v>
      </c>
      <c r="H180" s="17" t="n">
        <v>1446</v>
      </c>
      <c r="I180" s="17" t="inlineStr">
        <is>
          <t>85.0031%</t>
        </is>
      </c>
      <c r="J180" s="17" t="inlineStr">
        <is>
          <t>14.9969%</t>
        </is>
      </c>
    </row>
    <row r="181">
      <c r="D181" t="inlineStr">
        <is>
          <t>English</t>
        </is>
      </c>
      <c r="E181" t="inlineStr">
        <is>
          <t>Address</t>
        </is>
      </c>
      <c r="F181" t="n">
        <v>120</v>
      </c>
      <c r="G181" t="n">
        <v>100</v>
      </c>
      <c r="H181" t="n">
        <v>20</v>
      </c>
      <c r="I181" t="inlineStr">
        <is>
          <t>83.33333333333334%</t>
        </is>
      </c>
      <c r="J181" t="inlineStr">
        <is>
          <t>16.666666666666664%</t>
        </is>
      </c>
    </row>
    <row r="182">
      <c r="D182" t="inlineStr">
        <is>
          <t>English</t>
        </is>
      </c>
      <c r="E182" t="inlineStr">
        <is>
          <t>Agent</t>
        </is>
      </c>
      <c r="F182" t="n">
        <v>720</v>
      </c>
      <c r="G182" t="n">
        <v>607</v>
      </c>
      <c r="H182" t="n">
        <v>113</v>
      </c>
      <c r="I182" t="inlineStr">
        <is>
          <t>84.30555555555556%</t>
        </is>
      </c>
      <c r="J182" t="inlineStr">
        <is>
          <t>15.694444444444445%</t>
        </is>
      </c>
    </row>
    <row r="183">
      <c r="D183" t="inlineStr">
        <is>
          <t>English</t>
        </is>
      </c>
      <c r="E183" t="inlineStr">
        <is>
          <t>Agreement</t>
        </is>
      </c>
      <c r="F183" t="n">
        <v>120</v>
      </c>
      <c r="G183" t="n">
        <v>101</v>
      </c>
      <c r="H183" t="n">
        <v>19</v>
      </c>
      <c r="I183" t="inlineStr">
        <is>
          <t>84.16666666666667%</t>
        </is>
      </c>
      <c r="J183" t="inlineStr">
        <is>
          <t>15.833333333333332%</t>
        </is>
      </c>
    </row>
    <row r="184">
      <c r="D184" t="inlineStr">
        <is>
          <t>English</t>
        </is>
      </c>
      <c r="E184" t="inlineStr">
        <is>
          <t>Appointment</t>
        </is>
      </c>
      <c r="F184" t="n">
        <v>120</v>
      </c>
      <c r="G184" t="n">
        <v>105</v>
      </c>
      <c r="H184" t="n">
        <v>15</v>
      </c>
      <c r="I184" t="inlineStr">
        <is>
          <t>87.5%</t>
        </is>
      </c>
      <c r="J184" t="inlineStr">
        <is>
          <t>12.5%</t>
        </is>
      </c>
    </row>
    <row r="185">
      <c r="D185" t="inlineStr">
        <is>
          <t>English</t>
        </is>
      </c>
      <c r="E185" t="inlineStr">
        <is>
          <t>Benefits</t>
        </is>
      </c>
      <c r="F185" t="n">
        <v>396</v>
      </c>
      <c r="G185" t="n">
        <v>331</v>
      </c>
      <c r="H185" t="n">
        <v>65</v>
      </c>
      <c r="I185" t="inlineStr">
        <is>
          <t>83.58585858585859%</t>
        </is>
      </c>
      <c r="J185" t="inlineStr">
        <is>
          <t>16.414141414141415%</t>
        </is>
      </c>
    </row>
    <row r="186">
      <c r="D186" t="inlineStr">
        <is>
          <t>English</t>
        </is>
      </c>
      <c r="E186" t="inlineStr">
        <is>
          <t>Cancel</t>
        </is>
      </c>
      <c r="F186" t="n">
        <v>120</v>
      </c>
      <c r="G186" t="n">
        <v>101</v>
      </c>
      <c r="H186" t="n">
        <v>19</v>
      </c>
      <c r="I186" t="inlineStr">
        <is>
          <t>84.16666666666667%</t>
        </is>
      </c>
      <c r="J186" t="inlineStr">
        <is>
          <t>15.833333333333332%</t>
        </is>
      </c>
    </row>
    <row r="187">
      <c r="D187" t="inlineStr">
        <is>
          <t>English</t>
        </is>
      </c>
      <c r="E187" t="inlineStr">
        <is>
          <t>Cancer</t>
        </is>
      </c>
      <c r="F187" t="n">
        <v>120</v>
      </c>
      <c r="G187" t="n">
        <v>105</v>
      </c>
      <c r="H187" t="n">
        <v>15</v>
      </c>
      <c r="I187" t="inlineStr">
        <is>
          <t>87.5%</t>
        </is>
      </c>
      <c r="J187" t="inlineStr">
        <is>
          <t>12.5%</t>
        </is>
      </c>
    </row>
    <row r="188">
      <c r="D188" t="inlineStr">
        <is>
          <t>English</t>
        </is>
      </c>
      <c r="E188" t="inlineStr">
        <is>
          <t>Cards</t>
        </is>
      </c>
      <c r="F188" t="n">
        <v>120</v>
      </c>
      <c r="G188" t="n">
        <v>102</v>
      </c>
      <c r="H188" t="n">
        <v>18</v>
      </c>
      <c r="I188" t="inlineStr">
        <is>
          <t>85.0%</t>
        </is>
      </c>
      <c r="J188" t="inlineStr">
        <is>
          <t>15.0%</t>
        </is>
      </c>
    </row>
    <row r="189">
      <c r="D189" t="inlineStr">
        <is>
          <t>English</t>
        </is>
      </c>
      <c r="E189" t="inlineStr">
        <is>
          <t>Clinical</t>
        </is>
      </c>
      <c r="F189" t="n">
        <v>360</v>
      </c>
      <c r="G189" t="n">
        <v>300</v>
      </c>
      <c r="H189" t="n">
        <v>60</v>
      </c>
      <c r="I189" t="inlineStr">
        <is>
          <t>83.33333333333334%</t>
        </is>
      </c>
      <c r="J189" t="inlineStr">
        <is>
          <t>16.666666666666664%</t>
        </is>
      </c>
    </row>
    <row r="190">
      <c r="D190" t="inlineStr">
        <is>
          <t>English</t>
        </is>
      </c>
      <c r="E190" t="inlineStr">
        <is>
          <t>Contact</t>
        </is>
      </c>
      <c r="F190" t="n">
        <v>240</v>
      </c>
      <c r="G190" t="n">
        <v>202</v>
      </c>
      <c r="H190" t="n">
        <v>38</v>
      </c>
      <c r="I190" t="inlineStr">
        <is>
          <t>84.16666666666667%</t>
        </is>
      </c>
      <c r="J190" t="inlineStr">
        <is>
          <t>15.833333333333332%</t>
        </is>
      </c>
    </row>
    <row r="191">
      <c r="D191" t="inlineStr">
        <is>
          <t>English</t>
        </is>
      </c>
      <c r="E191" t="inlineStr">
        <is>
          <t>Credentialing</t>
        </is>
      </c>
      <c r="F191" t="n">
        <v>120</v>
      </c>
      <c r="G191" t="n">
        <v>102</v>
      </c>
      <c r="H191" t="n">
        <v>18</v>
      </c>
      <c r="I191" t="inlineStr">
        <is>
          <t>85.0%</t>
        </is>
      </c>
      <c r="J191" t="inlineStr">
        <is>
          <t>15.0%</t>
        </is>
      </c>
    </row>
    <row r="192">
      <c r="D192" t="inlineStr">
        <is>
          <t>English</t>
        </is>
      </c>
      <c r="E192" t="inlineStr">
        <is>
          <t>DemographicUpdate</t>
        </is>
      </c>
      <c r="F192" t="n">
        <v>120</v>
      </c>
      <c r="G192" t="n">
        <v>100</v>
      </c>
      <c r="H192" t="n">
        <v>20</v>
      </c>
      <c r="I192" t="inlineStr">
        <is>
          <t>83.33333333333334%</t>
        </is>
      </c>
      <c r="J192" t="inlineStr">
        <is>
          <t>16.666666666666664%</t>
        </is>
      </c>
    </row>
    <row r="193">
      <c r="D193" t="inlineStr">
        <is>
          <t>English</t>
        </is>
      </c>
      <c r="E193" t="inlineStr">
        <is>
          <t>Dental</t>
        </is>
      </c>
      <c r="F193" t="n">
        <v>120</v>
      </c>
      <c r="G193" t="n">
        <v>104</v>
      </c>
      <c r="H193" t="n">
        <v>16</v>
      </c>
      <c r="I193" t="inlineStr">
        <is>
          <t>86.66666666666667%</t>
        </is>
      </c>
      <c r="J193" t="inlineStr">
        <is>
          <t>13.333333333333334%</t>
        </is>
      </c>
    </row>
    <row r="194">
      <c r="D194" t="inlineStr">
        <is>
          <t>English</t>
        </is>
      </c>
      <c r="E194" t="inlineStr">
        <is>
          <t>DisAmBig</t>
        </is>
      </c>
      <c r="F194" t="n">
        <v>360</v>
      </c>
      <c r="G194" t="n">
        <v>306</v>
      </c>
      <c r="H194" t="n">
        <v>54</v>
      </c>
      <c r="I194" t="inlineStr">
        <is>
          <t>85.0%</t>
        </is>
      </c>
      <c r="J194" t="inlineStr">
        <is>
          <t>15.0%</t>
        </is>
      </c>
    </row>
    <row r="195">
      <c r="D195" t="inlineStr">
        <is>
          <t>English</t>
        </is>
      </c>
      <c r="E195" t="inlineStr">
        <is>
          <t>Disability</t>
        </is>
      </c>
      <c r="F195" t="n">
        <v>120</v>
      </c>
      <c r="G195" t="n">
        <v>101</v>
      </c>
      <c r="H195" t="n">
        <v>19</v>
      </c>
      <c r="I195" t="inlineStr">
        <is>
          <t>84.16666666666667%</t>
        </is>
      </c>
      <c r="J195" t="inlineStr">
        <is>
          <t>15.833333333333332%</t>
        </is>
      </c>
    </row>
    <row r="196">
      <c r="D196" t="inlineStr">
        <is>
          <t>English</t>
        </is>
      </c>
      <c r="E196" t="inlineStr">
        <is>
          <t>Discharge</t>
        </is>
      </c>
      <c r="F196" t="n">
        <v>120</v>
      </c>
      <c r="G196" t="n">
        <v>103</v>
      </c>
      <c r="H196" t="n">
        <v>17</v>
      </c>
      <c r="I196" t="inlineStr">
        <is>
          <t>85.83333333333333%</t>
        </is>
      </c>
      <c r="J196" t="inlineStr">
        <is>
          <t>14.166666666666666%</t>
        </is>
      </c>
    </row>
    <row r="197">
      <c r="D197" t="inlineStr">
        <is>
          <t>English</t>
        </is>
      </c>
      <c r="E197" t="inlineStr">
        <is>
          <t>Doctor</t>
        </is>
      </c>
      <c r="F197" t="n">
        <v>480</v>
      </c>
      <c r="G197" t="n">
        <v>415</v>
      </c>
      <c r="H197" t="n">
        <v>65</v>
      </c>
      <c r="I197" t="inlineStr">
        <is>
          <t>86.45833333333334%</t>
        </is>
      </c>
      <c r="J197" t="inlineStr">
        <is>
          <t>13.541666666666666%</t>
        </is>
      </c>
    </row>
    <row r="198">
      <c r="D198" t="inlineStr">
        <is>
          <t>English</t>
        </is>
      </c>
      <c r="E198" t="inlineStr">
        <is>
          <t>EFT</t>
        </is>
      </c>
      <c r="F198" t="n">
        <v>120</v>
      </c>
      <c r="G198" t="n">
        <v>104</v>
      </c>
      <c r="H198" t="n">
        <v>16</v>
      </c>
      <c r="I198" t="inlineStr">
        <is>
          <t>86.66666666666667%</t>
        </is>
      </c>
      <c r="J198" t="inlineStr">
        <is>
          <t>13.333333333333334%</t>
        </is>
      </c>
    </row>
    <row r="199">
      <c r="D199" t="inlineStr">
        <is>
          <t>English</t>
        </is>
      </c>
      <c r="E199" t="inlineStr">
        <is>
          <t>Emergency</t>
        </is>
      </c>
      <c r="F199" t="n">
        <v>120</v>
      </c>
      <c r="G199" t="n">
        <v>103</v>
      </c>
      <c r="H199" t="n">
        <v>17</v>
      </c>
      <c r="I199" t="inlineStr">
        <is>
          <t>85.83333333333333%</t>
        </is>
      </c>
      <c r="J199" t="inlineStr">
        <is>
          <t>14.166666666666666%</t>
        </is>
      </c>
    </row>
    <row r="200">
      <c r="D200" t="inlineStr">
        <is>
          <t>English</t>
        </is>
      </c>
      <c r="E200" t="inlineStr">
        <is>
          <t>Enrollment</t>
        </is>
      </c>
      <c r="F200" t="n">
        <v>120</v>
      </c>
      <c r="G200" t="n">
        <v>100</v>
      </c>
      <c r="H200" t="n">
        <v>20</v>
      </c>
      <c r="I200" t="inlineStr">
        <is>
          <t>83.33333333333334%</t>
        </is>
      </c>
      <c r="J200" t="inlineStr">
        <is>
          <t>16.666666666666664%</t>
        </is>
      </c>
    </row>
    <row r="201">
      <c r="D201" t="inlineStr">
        <is>
          <t>English</t>
        </is>
      </c>
      <c r="E201" t="inlineStr">
        <is>
          <t>Extension</t>
        </is>
      </c>
      <c r="F201" t="n">
        <v>120</v>
      </c>
      <c r="G201" t="n">
        <v>101</v>
      </c>
      <c r="H201" t="n">
        <v>19</v>
      </c>
      <c r="I201" t="inlineStr">
        <is>
          <t>84.16666666666667%</t>
        </is>
      </c>
      <c r="J201" t="inlineStr">
        <is>
          <t>15.833333333333332%</t>
        </is>
      </c>
    </row>
    <row r="202">
      <c r="D202" t="inlineStr">
        <is>
          <t>English</t>
        </is>
      </c>
      <c r="E202" t="inlineStr">
        <is>
          <t>Fax</t>
        </is>
      </c>
      <c r="F202" t="n">
        <v>120</v>
      </c>
      <c r="G202" t="n">
        <v>102</v>
      </c>
      <c r="H202" t="n">
        <v>18</v>
      </c>
      <c r="I202" t="inlineStr">
        <is>
          <t>85.0%</t>
        </is>
      </c>
      <c r="J202" t="inlineStr">
        <is>
          <t>15.0%</t>
        </is>
      </c>
    </row>
    <row r="203">
      <c r="D203" t="inlineStr">
        <is>
          <t>English</t>
        </is>
      </c>
      <c r="E203" t="inlineStr">
        <is>
          <t>Fee</t>
        </is>
      </c>
      <c r="F203" t="n">
        <v>120</v>
      </c>
      <c r="G203" t="n">
        <v>100</v>
      </c>
      <c r="H203" t="n">
        <v>20</v>
      </c>
      <c r="I203" t="inlineStr">
        <is>
          <t>83.33333333333334%</t>
        </is>
      </c>
      <c r="J203" t="inlineStr">
        <is>
          <t>16.666666666666664%</t>
        </is>
      </c>
    </row>
    <row r="204">
      <c r="D204" t="inlineStr">
        <is>
          <t>English</t>
        </is>
      </c>
      <c r="E204" t="inlineStr">
        <is>
          <t>Fraud</t>
        </is>
      </c>
      <c r="F204" t="n">
        <v>120</v>
      </c>
      <c r="G204" t="n">
        <v>100</v>
      </c>
      <c r="H204" t="n">
        <v>20</v>
      </c>
      <c r="I204" t="inlineStr">
        <is>
          <t>83.33333333333334%</t>
        </is>
      </c>
      <c r="J204" t="inlineStr">
        <is>
          <t>16.666666666666664%</t>
        </is>
      </c>
    </row>
    <row r="205">
      <c r="D205" t="inlineStr">
        <is>
          <t>English</t>
        </is>
      </c>
      <c r="E205" t="inlineStr">
        <is>
          <t>LeaveOfAbsence</t>
        </is>
      </c>
      <c r="F205" t="n">
        <v>120</v>
      </c>
      <c r="G205" t="n">
        <v>101</v>
      </c>
      <c r="H205" t="n">
        <v>19</v>
      </c>
      <c r="I205" t="inlineStr">
        <is>
          <t>84.16666666666667%</t>
        </is>
      </c>
      <c r="J205" t="inlineStr">
        <is>
          <t>15.833333333333332%</t>
        </is>
      </c>
    </row>
    <row r="206">
      <c r="D206" t="inlineStr">
        <is>
          <t>English</t>
        </is>
      </c>
      <c r="E206" t="inlineStr">
        <is>
          <t>LegalFinancial</t>
        </is>
      </c>
      <c r="F206" t="n">
        <v>120</v>
      </c>
      <c r="G206" t="n">
        <v>106</v>
      </c>
      <c r="H206" t="n">
        <v>14</v>
      </c>
      <c r="I206" t="inlineStr">
        <is>
          <t>88.33333333333333%</t>
        </is>
      </c>
      <c r="J206" t="inlineStr">
        <is>
          <t>11.666666666666666%</t>
        </is>
      </c>
    </row>
    <row r="207">
      <c r="D207" t="inlineStr">
        <is>
          <t>English</t>
        </is>
      </c>
      <c r="E207" t="inlineStr">
        <is>
          <t>Medical</t>
        </is>
      </c>
      <c r="F207" t="n">
        <v>600</v>
      </c>
      <c r="G207" t="n">
        <v>503</v>
      </c>
      <c r="H207" t="n">
        <v>97</v>
      </c>
      <c r="I207" t="inlineStr">
        <is>
          <t>83.83333333333334%</t>
        </is>
      </c>
      <c r="J207" t="inlineStr">
        <is>
          <t>16.166666666666664%</t>
        </is>
      </c>
    </row>
    <row r="208">
      <c r="D208" t="inlineStr">
        <is>
          <t>English</t>
        </is>
      </c>
      <c r="E208" t="inlineStr">
        <is>
          <t>MedicalHelp</t>
        </is>
      </c>
      <c r="F208" t="n">
        <v>120</v>
      </c>
      <c r="G208" t="n">
        <v>101</v>
      </c>
      <c r="H208" t="n">
        <v>19</v>
      </c>
      <c r="I208" t="inlineStr">
        <is>
          <t>84.16666666666667%</t>
        </is>
      </c>
      <c r="J208" t="inlineStr">
        <is>
          <t>15.833333333333332%</t>
        </is>
      </c>
    </row>
    <row r="209">
      <c r="D209" t="inlineStr">
        <is>
          <t>English</t>
        </is>
      </c>
      <c r="E209" t="inlineStr">
        <is>
          <t>MemberId</t>
        </is>
      </c>
      <c r="F209" t="n">
        <v>120</v>
      </c>
      <c r="G209" t="n">
        <v>104</v>
      </c>
      <c r="H209" t="n">
        <v>16</v>
      </c>
      <c r="I209" t="inlineStr">
        <is>
          <t>86.66666666666667%</t>
        </is>
      </c>
      <c r="J209" t="inlineStr">
        <is>
          <t>13.333333333333334%</t>
        </is>
      </c>
    </row>
    <row r="210">
      <c r="D210" t="inlineStr">
        <is>
          <t>English</t>
        </is>
      </c>
      <c r="E210" t="inlineStr">
        <is>
          <t>Pharmacy</t>
        </is>
      </c>
      <c r="F210" t="n">
        <v>120</v>
      </c>
      <c r="G210" t="n">
        <v>104</v>
      </c>
      <c r="H210" t="n">
        <v>16</v>
      </c>
      <c r="I210" t="inlineStr">
        <is>
          <t>86.66666666666667%</t>
        </is>
      </c>
      <c r="J210" t="inlineStr">
        <is>
          <t>13.333333333333334%</t>
        </is>
      </c>
    </row>
    <row r="211">
      <c r="D211" t="inlineStr">
        <is>
          <t>English</t>
        </is>
      </c>
      <c r="E211" t="inlineStr">
        <is>
          <t>PreApproval</t>
        </is>
      </c>
      <c r="F211" t="n">
        <v>360</v>
      </c>
      <c r="G211" t="n">
        <v>308</v>
      </c>
      <c r="H211" t="n">
        <v>52</v>
      </c>
      <c r="I211" t="inlineStr">
        <is>
          <t>85.55555555555556%</t>
        </is>
      </c>
      <c r="J211" t="inlineStr">
        <is>
          <t>14.444444444444443%</t>
        </is>
      </c>
    </row>
    <row r="212">
      <c r="D212" t="inlineStr">
        <is>
          <t>English</t>
        </is>
      </c>
      <c r="E212" t="inlineStr">
        <is>
          <t>Review</t>
        </is>
      </c>
      <c r="F212" t="n">
        <v>240</v>
      </c>
      <c r="G212" t="n">
        <v>210</v>
      </c>
      <c r="H212" t="n">
        <v>30</v>
      </c>
      <c r="I212" t="inlineStr">
        <is>
          <t>87.5%</t>
        </is>
      </c>
      <c r="J212" t="inlineStr">
        <is>
          <t>12.5%</t>
        </is>
      </c>
    </row>
    <row r="213">
      <c r="D213" t="inlineStr">
        <is>
          <t>English</t>
        </is>
      </c>
      <c r="E213" t="inlineStr">
        <is>
          <t>Spanish</t>
        </is>
      </c>
      <c r="F213" t="n">
        <v>120</v>
      </c>
      <c r="G213" t="n">
        <v>106</v>
      </c>
      <c r="H213" t="n">
        <v>14</v>
      </c>
      <c r="I213" t="inlineStr">
        <is>
          <t>88.33333333333333%</t>
        </is>
      </c>
      <c r="J213" t="inlineStr">
        <is>
          <t>11.666666666666666%</t>
        </is>
      </c>
    </row>
    <row r="214">
      <c r="D214" t="inlineStr">
        <is>
          <t>English</t>
        </is>
      </c>
      <c r="E214" t="inlineStr">
        <is>
          <t>Submission</t>
        </is>
      </c>
      <c r="F214" t="n">
        <v>120</v>
      </c>
      <c r="G214" t="n">
        <v>101</v>
      </c>
      <c r="H214" t="n">
        <v>19</v>
      </c>
      <c r="I214" t="inlineStr">
        <is>
          <t>84.16666666666667%</t>
        </is>
      </c>
      <c r="J214" t="inlineStr">
        <is>
          <t>15.833333333333332%</t>
        </is>
      </c>
    </row>
    <row r="215">
      <c r="D215" t="inlineStr">
        <is>
          <t>English</t>
        </is>
      </c>
      <c r="E215" t="inlineStr">
        <is>
          <t>Transplants</t>
        </is>
      </c>
      <c r="F215" t="n">
        <v>120</v>
      </c>
      <c r="G215" t="n">
        <v>100</v>
      </c>
      <c r="H215" t="n">
        <v>20</v>
      </c>
      <c r="I215" t="inlineStr">
        <is>
          <t>83.33333333333334%</t>
        </is>
      </c>
      <c r="J215" t="inlineStr">
        <is>
          <t>16.666666666666664%</t>
        </is>
      </c>
    </row>
    <row r="216">
      <c r="D216" t="inlineStr">
        <is>
          <t>English</t>
        </is>
      </c>
      <c r="E216" t="inlineStr">
        <is>
          <t>Transportation</t>
        </is>
      </c>
      <c r="F216" t="n">
        <v>120</v>
      </c>
      <c r="G216" t="n">
        <v>101</v>
      </c>
      <c r="H216" t="n">
        <v>19</v>
      </c>
      <c r="I216" t="inlineStr">
        <is>
          <t>84.16666666666667%</t>
        </is>
      </c>
      <c r="J216" t="inlineStr">
        <is>
          <t>15.833333333333332%</t>
        </is>
      </c>
    </row>
    <row r="217">
      <c r="D217" t="inlineStr">
        <is>
          <t>English</t>
        </is>
      </c>
      <c r="E217" t="inlineStr">
        <is>
          <t>Travel</t>
        </is>
      </c>
      <c r="F217" t="n">
        <v>120</v>
      </c>
      <c r="G217" t="n">
        <v>102</v>
      </c>
      <c r="H217" t="n">
        <v>18</v>
      </c>
      <c r="I217" t="inlineStr">
        <is>
          <t>85.0%</t>
        </is>
      </c>
      <c r="J217" t="inlineStr">
        <is>
          <t>15.0%</t>
        </is>
      </c>
    </row>
    <row r="218">
      <c r="D218" t="inlineStr">
        <is>
          <t>English</t>
        </is>
      </c>
      <c r="E218" t="inlineStr">
        <is>
          <t>Verbal</t>
        </is>
      </c>
      <c r="F218" t="n">
        <v>120</v>
      </c>
      <c r="G218" t="n">
        <v>104</v>
      </c>
      <c r="H218" t="n">
        <v>16</v>
      </c>
      <c r="I218" t="inlineStr">
        <is>
          <t>86.66666666666667%</t>
        </is>
      </c>
      <c r="J218" t="inlineStr">
        <is>
          <t>13.333333333333334%</t>
        </is>
      </c>
    </row>
    <row r="219">
      <c r="D219" t="inlineStr">
        <is>
          <t>English</t>
        </is>
      </c>
      <c r="E219" t="inlineStr">
        <is>
          <t>Vision</t>
        </is>
      </c>
      <c r="F219" t="n">
        <v>120</v>
      </c>
      <c r="G219" t="n">
        <v>103</v>
      </c>
      <c r="H219" t="n">
        <v>17</v>
      </c>
      <c r="I219" t="inlineStr">
        <is>
          <t>85.83333333333333%</t>
        </is>
      </c>
      <c r="J219" t="inlineStr">
        <is>
          <t>14.166666666666666%</t>
        </is>
      </c>
    </row>
    <row r="220">
      <c r="D220" t="inlineStr">
        <is>
          <t>English</t>
        </is>
      </c>
      <c r="E220" t="inlineStr">
        <is>
          <t>Wellness</t>
        </is>
      </c>
      <c r="F220" t="n">
        <v>120</v>
      </c>
      <c r="G220" t="n">
        <v>105</v>
      </c>
      <c r="H220" t="n">
        <v>15</v>
      </c>
      <c r="I220" t="inlineStr">
        <is>
          <t>87.5%</t>
        </is>
      </c>
      <c r="J220" t="inlineStr">
        <is>
          <t>12.5%</t>
        </is>
      </c>
    </row>
    <row r="221">
      <c r="D221" t="inlineStr">
        <is>
          <t>English</t>
        </is>
      </c>
      <c r="E221" t="inlineStr">
        <is>
          <t>Womens</t>
        </is>
      </c>
      <c r="F221" t="n">
        <v>120</v>
      </c>
      <c r="G221" t="n">
        <v>100</v>
      </c>
      <c r="H221" t="n">
        <v>20</v>
      </c>
      <c r="I221" t="inlineStr">
        <is>
          <t>83.33333333333334%</t>
        </is>
      </c>
      <c r="J221" t="inlineStr">
        <is>
          <t>16.666666666666664%</t>
        </is>
      </c>
    </row>
    <row r="222">
      <c r="D222" t="inlineStr">
        <is>
          <t>English</t>
        </is>
      </c>
      <c r="E222" t="inlineStr">
        <is>
          <t>claims</t>
        </is>
      </c>
      <c r="F222" t="n">
        <v>606</v>
      </c>
      <c r="G222" t="n">
        <v>510</v>
      </c>
      <c r="H222" t="n">
        <v>96</v>
      </c>
      <c r="I222" t="inlineStr">
        <is>
          <t>84.15841584158416%</t>
        </is>
      </c>
      <c r="J222" t="inlineStr">
        <is>
          <t>15.841584158415841%</t>
        </is>
      </c>
    </row>
    <row r="223">
      <c r="D223" t="inlineStr">
        <is>
          <t>English</t>
        </is>
      </c>
      <c r="E223" t="inlineStr">
        <is>
          <t>cob</t>
        </is>
      </c>
      <c r="F223" t="n">
        <v>120</v>
      </c>
      <c r="G223" t="n">
        <v>101</v>
      </c>
      <c r="H223" t="n">
        <v>19</v>
      </c>
      <c r="I223" t="inlineStr">
        <is>
          <t>84.16666666666667%</t>
        </is>
      </c>
      <c r="J223" t="inlineStr">
        <is>
          <t>15.833333333333332%</t>
        </is>
      </c>
    </row>
    <row r="224">
      <c r="D224" t="inlineStr">
        <is>
          <t>English</t>
        </is>
      </c>
      <c r="E224" t="inlineStr">
        <is>
          <t>contact</t>
        </is>
      </c>
      <c r="F224" t="n">
        <v>120</v>
      </c>
      <c r="G224" t="n">
        <v>101</v>
      </c>
      <c r="H224" t="n">
        <v>19</v>
      </c>
      <c r="I224" t="inlineStr">
        <is>
          <t>84.16666666666667%</t>
        </is>
      </c>
      <c r="J224" t="inlineStr">
        <is>
          <t>15.833333333333332%</t>
        </is>
      </c>
    </row>
    <row r="225">
      <c r="D225" t="inlineStr">
        <is>
          <t>English</t>
        </is>
      </c>
      <c r="E225" t="inlineStr">
        <is>
          <t>employeeAssistance</t>
        </is>
      </c>
      <c r="F225" t="n">
        <v>360</v>
      </c>
      <c r="G225" t="n">
        <v>306</v>
      </c>
      <c r="H225" t="n">
        <v>54</v>
      </c>
      <c r="I225" t="inlineStr">
        <is>
          <t>85.0%</t>
        </is>
      </c>
      <c r="J225" t="inlineStr">
        <is>
          <t>15.0%</t>
        </is>
      </c>
    </row>
    <row r="226">
      <c r="D226" t="inlineStr">
        <is>
          <t>English</t>
        </is>
      </c>
      <c r="E226" t="inlineStr">
        <is>
          <t>financialAccount</t>
        </is>
      </c>
      <c r="F226" t="n">
        <v>120</v>
      </c>
      <c r="G226" t="n">
        <v>103</v>
      </c>
      <c r="H226" t="n">
        <v>17</v>
      </c>
      <c r="I226" t="inlineStr">
        <is>
          <t>85.83333333333333%</t>
        </is>
      </c>
      <c r="J226" t="inlineStr">
        <is>
          <t>14.166666666666666%</t>
        </is>
      </c>
    </row>
    <row r="227">
      <c r="D227" t="inlineStr">
        <is>
          <t>English</t>
        </is>
      </c>
      <c r="E227" t="inlineStr">
        <is>
          <t>preApproval</t>
        </is>
      </c>
      <c r="F227" t="n">
        <v>360</v>
      </c>
      <c r="G227" t="n">
        <v>314</v>
      </c>
      <c r="H227" t="n">
        <v>46</v>
      </c>
      <c r="I227" t="inlineStr">
        <is>
          <t>87.22222222222223%</t>
        </is>
      </c>
      <c r="J227" t="inlineStr">
        <is>
          <t>12.777777777777777%</t>
        </is>
      </c>
    </row>
    <row r="228">
      <c r="D228" t="inlineStr">
        <is>
          <t>English</t>
        </is>
      </c>
      <c r="E228" t="inlineStr">
        <is>
          <t>websiteSupport</t>
        </is>
      </c>
      <c r="F228" t="n">
        <v>240</v>
      </c>
      <c r="G228" t="n">
        <v>209</v>
      </c>
      <c r="H228" t="n">
        <v>31</v>
      </c>
      <c r="I228" t="inlineStr">
        <is>
          <t>87.08333333333333%</t>
        </is>
      </c>
      <c r="J228" t="inlineStr">
        <is>
          <t>12.916666666666668%</t>
        </is>
      </c>
    </row>
    <row r="229">
      <c r="D229" s="17" t="inlineStr">
        <is>
          <t>Total</t>
        </is>
      </c>
      <c r="F229" s="17" t="n">
        <v>9642</v>
      </c>
      <c r="G229" s="17" t="n">
        <v>8199</v>
      </c>
      <c r="H229" s="17" t="n">
        <v>1443</v>
      </c>
      <c r="I229" s="17" t="inlineStr">
        <is>
          <t>85.0342%</t>
        </is>
      </c>
      <c r="J229" s="17" t="inlineStr">
        <is>
          <t>14.9658%</t>
        </is>
      </c>
    </row>
    <row r="230">
      <c r="D230" s="17" t="inlineStr">
        <is>
          <t>Total</t>
        </is>
      </c>
      <c r="E230" t="inlineStr">
        <is>
          <t>ABA</t>
        </is>
      </c>
      <c r="F230" s="17" t="n">
        <v>9642</v>
      </c>
      <c r="G230" s="17" t="n">
        <v>8199</v>
      </c>
      <c r="H230" s="17" t="n">
        <v>1443</v>
      </c>
      <c r="I230" s="17" t="inlineStr">
        <is>
          <t>85.0342%</t>
        </is>
      </c>
      <c r="J230" s="17" t="inlineStr">
        <is>
          <t>14.9658%</t>
        </is>
      </c>
    </row>
    <row r="231">
      <c r="D231" t="inlineStr">
        <is>
          <t>French</t>
        </is>
      </c>
      <c r="E231" t="inlineStr">
        <is>
          <t>Address</t>
        </is>
      </c>
      <c r="F231" t="n">
        <v>120</v>
      </c>
      <c r="G231" t="n">
        <v>100</v>
      </c>
      <c r="H231" t="n">
        <v>20</v>
      </c>
      <c r="I231" t="inlineStr">
        <is>
          <t>83.33333333333334%</t>
        </is>
      </c>
      <c r="J231" t="inlineStr">
        <is>
          <t>16.666666666666664%</t>
        </is>
      </c>
    </row>
    <row r="232">
      <c r="D232" t="inlineStr">
        <is>
          <t>French</t>
        </is>
      </c>
      <c r="E232" t="inlineStr">
        <is>
          <t>Agent</t>
        </is>
      </c>
      <c r="F232" t="n">
        <v>720</v>
      </c>
      <c r="G232" t="n">
        <v>600</v>
      </c>
      <c r="H232" t="n">
        <v>120</v>
      </c>
      <c r="I232" t="inlineStr">
        <is>
          <t>83.33333333333334%</t>
        </is>
      </c>
      <c r="J232" t="inlineStr">
        <is>
          <t>16.666666666666664%</t>
        </is>
      </c>
    </row>
    <row r="233">
      <c r="D233" t="inlineStr">
        <is>
          <t>French</t>
        </is>
      </c>
      <c r="E233" t="inlineStr">
        <is>
          <t>Agreement</t>
        </is>
      </c>
      <c r="F233" t="n">
        <v>120</v>
      </c>
      <c r="G233" t="n">
        <v>101</v>
      </c>
      <c r="H233" t="n">
        <v>19</v>
      </c>
      <c r="I233" t="inlineStr">
        <is>
          <t>84.16666666666667%</t>
        </is>
      </c>
      <c r="J233" t="inlineStr">
        <is>
          <t>15.833333333333332%</t>
        </is>
      </c>
    </row>
    <row r="234">
      <c r="D234" t="inlineStr">
        <is>
          <t>French</t>
        </is>
      </c>
      <c r="E234" t="inlineStr">
        <is>
          <t>Appointment</t>
        </is>
      </c>
      <c r="F234" t="n">
        <v>120</v>
      </c>
      <c r="G234" t="n">
        <v>104</v>
      </c>
      <c r="H234" t="n">
        <v>16</v>
      </c>
      <c r="I234" t="inlineStr">
        <is>
          <t>86.66666666666667%</t>
        </is>
      </c>
      <c r="J234" t="inlineStr">
        <is>
          <t>13.333333333333334%</t>
        </is>
      </c>
    </row>
    <row r="235">
      <c r="D235" t="inlineStr">
        <is>
          <t>French</t>
        </is>
      </c>
      <c r="E235" t="inlineStr">
        <is>
          <t>Benefits</t>
        </is>
      </c>
      <c r="F235" t="n">
        <v>396</v>
      </c>
      <c r="G235" t="n">
        <v>333</v>
      </c>
      <c r="H235" t="n">
        <v>63</v>
      </c>
      <c r="I235" t="inlineStr">
        <is>
          <t>84.0909090909091%</t>
        </is>
      </c>
      <c r="J235" t="inlineStr">
        <is>
          <t>15.909090909090908%</t>
        </is>
      </c>
    </row>
    <row r="236">
      <c r="D236" t="inlineStr">
        <is>
          <t>French</t>
        </is>
      </c>
      <c r="E236" t="inlineStr">
        <is>
          <t>Cancel</t>
        </is>
      </c>
      <c r="F236" t="n">
        <v>120</v>
      </c>
      <c r="G236" t="n">
        <v>101</v>
      </c>
      <c r="H236" t="n">
        <v>19</v>
      </c>
      <c r="I236" t="inlineStr">
        <is>
          <t>84.16666666666667%</t>
        </is>
      </c>
      <c r="J236" t="inlineStr">
        <is>
          <t>15.833333333333332%</t>
        </is>
      </c>
    </row>
    <row r="237">
      <c r="D237" t="inlineStr">
        <is>
          <t>French</t>
        </is>
      </c>
      <c r="E237" t="inlineStr">
        <is>
          <t>Cancer</t>
        </is>
      </c>
      <c r="F237" t="n">
        <v>120</v>
      </c>
      <c r="G237" t="n">
        <v>101</v>
      </c>
      <c r="H237" t="n">
        <v>19</v>
      </c>
      <c r="I237" t="inlineStr">
        <is>
          <t>84.16666666666667%</t>
        </is>
      </c>
      <c r="J237" t="inlineStr">
        <is>
          <t>15.833333333333332%</t>
        </is>
      </c>
    </row>
    <row r="238">
      <c r="D238" t="inlineStr">
        <is>
          <t>French</t>
        </is>
      </c>
      <c r="E238" t="inlineStr">
        <is>
          <t>Cards</t>
        </is>
      </c>
      <c r="F238" t="n">
        <v>120</v>
      </c>
      <c r="G238" t="n">
        <v>104</v>
      </c>
      <c r="H238" t="n">
        <v>16</v>
      </c>
      <c r="I238" t="inlineStr">
        <is>
          <t>86.66666666666667%</t>
        </is>
      </c>
      <c r="J238" t="inlineStr">
        <is>
          <t>13.333333333333334%</t>
        </is>
      </c>
    </row>
    <row r="239">
      <c r="D239" t="inlineStr">
        <is>
          <t>French</t>
        </is>
      </c>
      <c r="E239" t="inlineStr">
        <is>
          <t>Clinical</t>
        </is>
      </c>
      <c r="F239" t="n">
        <v>360</v>
      </c>
      <c r="G239" t="n">
        <v>305</v>
      </c>
      <c r="H239" t="n">
        <v>55</v>
      </c>
      <c r="I239" t="inlineStr">
        <is>
          <t>84.72222222222221%</t>
        </is>
      </c>
      <c r="J239" t="inlineStr">
        <is>
          <t>15.277777777777779%</t>
        </is>
      </c>
    </row>
    <row r="240">
      <c r="D240" t="inlineStr">
        <is>
          <t>French</t>
        </is>
      </c>
      <c r="E240" t="inlineStr">
        <is>
          <t>Contact</t>
        </is>
      </c>
      <c r="F240" t="n">
        <v>240</v>
      </c>
      <c r="G240" t="n">
        <v>211</v>
      </c>
      <c r="H240" t="n">
        <v>29</v>
      </c>
      <c r="I240" t="inlineStr">
        <is>
          <t>87.91666666666667%</t>
        </is>
      </c>
      <c r="J240" t="inlineStr">
        <is>
          <t>12.083333333333334%</t>
        </is>
      </c>
    </row>
    <row r="241">
      <c r="D241" t="inlineStr">
        <is>
          <t>French</t>
        </is>
      </c>
      <c r="E241" t="inlineStr">
        <is>
          <t>Credentialing</t>
        </is>
      </c>
      <c r="F241" t="n">
        <v>120</v>
      </c>
      <c r="G241" t="n">
        <v>102</v>
      </c>
      <c r="H241" t="n">
        <v>18</v>
      </c>
      <c r="I241" t="inlineStr">
        <is>
          <t>85.0%</t>
        </is>
      </c>
      <c r="J241" t="inlineStr">
        <is>
          <t>15.0%</t>
        </is>
      </c>
    </row>
    <row r="242">
      <c r="D242" t="inlineStr">
        <is>
          <t>French</t>
        </is>
      </c>
      <c r="E242" t="inlineStr">
        <is>
          <t>DemographicUpdate</t>
        </is>
      </c>
      <c r="F242" t="n">
        <v>120</v>
      </c>
      <c r="G242" t="n">
        <v>102</v>
      </c>
      <c r="H242" t="n">
        <v>18</v>
      </c>
      <c r="I242" t="inlineStr">
        <is>
          <t>85.0%</t>
        </is>
      </c>
      <c r="J242" t="inlineStr">
        <is>
          <t>15.0%</t>
        </is>
      </c>
    </row>
    <row r="243">
      <c r="D243" t="inlineStr">
        <is>
          <t>French</t>
        </is>
      </c>
      <c r="E243" t="inlineStr">
        <is>
          <t>Dental</t>
        </is>
      </c>
      <c r="F243" t="n">
        <v>120</v>
      </c>
      <c r="G243" t="n">
        <v>102</v>
      </c>
      <c r="H243" t="n">
        <v>18</v>
      </c>
      <c r="I243" t="inlineStr">
        <is>
          <t>85.0%</t>
        </is>
      </c>
      <c r="J243" t="inlineStr">
        <is>
          <t>15.0%</t>
        </is>
      </c>
    </row>
    <row r="244">
      <c r="D244" t="inlineStr">
        <is>
          <t>French</t>
        </is>
      </c>
      <c r="E244" t="inlineStr">
        <is>
          <t>DisAmBig</t>
        </is>
      </c>
      <c r="F244" t="n">
        <v>360</v>
      </c>
      <c r="G244" t="n">
        <v>298</v>
      </c>
      <c r="H244" t="n">
        <v>62</v>
      </c>
      <c r="I244" t="inlineStr">
        <is>
          <t>82.77777777777777%</t>
        </is>
      </c>
      <c r="J244" t="inlineStr">
        <is>
          <t>17.22222222222222%</t>
        </is>
      </c>
    </row>
    <row r="245">
      <c r="D245" t="inlineStr">
        <is>
          <t>French</t>
        </is>
      </c>
      <c r="E245" t="inlineStr">
        <is>
          <t>Disability</t>
        </is>
      </c>
      <c r="F245" t="n">
        <v>120</v>
      </c>
      <c r="G245" t="n">
        <v>100</v>
      </c>
      <c r="H245" t="n">
        <v>20</v>
      </c>
      <c r="I245" t="inlineStr">
        <is>
          <t>83.33333333333334%</t>
        </is>
      </c>
      <c r="J245" t="inlineStr">
        <is>
          <t>16.666666666666664%</t>
        </is>
      </c>
    </row>
    <row r="246">
      <c r="D246" t="inlineStr">
        <is>
          <t>French</t>
        </is>
      </c>
      <c r="E246" t="inlineStr">
        <is>
          <t>Discharge</t>
        </is>
      </c>
      <c r="F246" t="n">
        <v>120</v>
      </c>
      <c r="G246" t="n">
        <v>101</v>
      </c>
      <c r="H246" t="n">
        <v>19</v>
      </c>
      <c r="I246" t="inlineStr">
        <is>
          <t>84.16666666666667%</t>
        </is>
      </c>
      <c r="J246" t="inlineStr">
        <is>
          <t>15.833333333333332%</t>
        </is>
      </c>
    </row>
    <row r="247">
      <c r="D247" t="inlineStr">
        <is>
          <t>French</t>
        </is>
      </c>
      <c r="E247" t="inlineStr">
        <is>
          <t>Doctor</t>
        </is>
      </c>
      <c r="F247" t="n">
        <v>480</v>
      </c>
      <c r="G247" t="n">
        <v>409</v>
      </c>
      <c r="H247" t="n">
        <v>71</v>
      </c>
      <c r="I247" t="inlineStr">
        <is>
          <t>85.20833333333333%</t>
        </is>
      </c>
      <c r="J247" t="inlineStr">
        <is>
          <t>14.791666666666666%</t>
        </is>
      </c>
    </row>
    <row r="248">
      <c r="D248" t="inlineStr">
        <is>
          <t>French</t>
        </is>
      </c>
      <c r="E248" t="inlineStr">
        <is>
          <t>EFT</t>
        </is>
      </c>
      <c r="F248" t="n">
        <v>120</v>
      </c>
      <c r="G248" t="n">
        <v>103</v>
      </c>
      <c r="H248" t="n">
        <v>17</v>
      </c>
      <c r="I248" t="inlineStr">
        <is>
          <t>85.83333333333333%</t>
        </is>
      </c>
      <c r="J248" t="inlineStr">
        <is>
          <t>14.166666666666666%</t>
        </is>
      </c>
    </row>
    <row r="249">
      <c r="D249" t="inlineStr">
        <is>
          <t>French</t>
        </is>
      </c>
      <c r="E249" t="inlineStr">
        <is>
          <t>Emergency</t>
        </is>
      </c>
      <c r="F249" t="n">
        <v>120</v>
      </c>
      <c r="G249" t="n">
        <v>103</v>
      </c>
      <c r="H249" t="n">
        <v>17</v>
      </c>
      <c r="I249" t="inlineStr">
        <is>
          <t>85.83333333333333%</t>
        </is>
      </c>
      <c r="J249" t="inlineStr">
        <is>
          <t>14.166666666666666%</t>
        </is>
      </c>
    </row>
    <row r="250">
      <c r="D250" t="inlineStr">
        <is>
          <t>French</t>
        </is>
      </c>
      <c r="E250" t="inlineStr">
        <is>
          <t>Enrollment</t>
        </is>
      </c>
      <c r="F250" t="n">
        <v>120</v>
      </c>
      <c r="G250" t="n">
        <v>103</v>
      </c>
      <c r="H250" t="n">
        <v>17</v>
      </c>
      <c r="I250" t="inlineStr">
        <is>
          <t>85.83333333333333%</t>
        </is>
      </c>
      <c r="J250" t="inlineStr">
        <is>
          <t>14.166666666666666%</t>
        </is>
      </c>
    </row>
    <row r="251">
      <c r="D251" t="inlineStr">
        <is>
          <t>French</t>
        </is>
      </c>
      <c r="E251" t="inlineStr">
        <is>
          <t>Extension</t>
        </is>
      </c>
      <c r="F251" t="n">
        <v>120</v>
      </c>
      <c r="G251" t="n">
        <v>100</v>
      </c>
      <c r="H251" t="n">
        <v>20</v>
      </c>
      <c r="I251" t="inlineStr">
        <is>
          <t>83.33333333333334%</t>
        </is>
      </c>
      <c r="J251" t="inlineStr">
        <is>
          <t>16.666666666666664%</t>
        </is>
      </c>
    </row>
    <row r="252">
      <c r="D252" t="inlineStr">
        <is>
          <t>French</t>
        </is>
      </c>
      <c r="E252" t="inlineStr">
        <is>
          <t>Fax</t>
        </is>
      </c>
      <c r="F252" t="n">
        <v>120</v>
      </c>
      <c r="G252" t="n">
        <v>100</v>
      </c>
      <c r="H252" t="n">
        <v>20</v>
      </c>
      <c r="I252" t="inlineStr">
        <is>
          <t>83.33333333333334%</t>
        </is>
      </c>
      <c r="J252" t="inlineStr">
        <is>
          <t>16.666666666666664%</t>
        </is>
      </c>
    </row>
    <row r="253">
      <c r="D253" t="inlineStr">
        <is>
          <t>French</t>
        </is>
      </c>
      <c r="E253" t="inlineStr">
        <is>
          <t>Fee</t>
        </is>
      </c>
      <c r="F253" t="n">
        <v>120</v>
      </c>
      <c r="G253" t="n">
        <v>103</v>
      </c>
      <c r="H253" t="n">
        <v>17</v>
      </c>
      <c r="I253" t="inlineStr">
        <is>
          <t>85.83333333333333%</t>
        </is>
      </c>
      <c r="J253" t="inlineStr">
        <is>
          <t>14.166666666666666%</t>
        </is>
      </c>
    </row>
    <row r="254">
      <c r="D254" t="inlineStr">
        <is>
          <t>French</t>
        </is>
      </c>
      <c r="E254" t="inlineStr">
        <is>
          <t>Fraud</t>
        </is>
      </c>
      <c r="F254" t="n">
        <v>120</v>
      </c>
      <c r="G254" t="n">
        <v>105</v>
      </c>
      <c r="H254" t="n">
        <v>15</v>
      </c>
      <c r="I254" t="inlineStr">
        <is>
          <t>87.5%</t>
        </is>
      </c>
      <c r="J254" t="inlineStr">
        <is>
          <t>12.5%</t>
        </is>
      </c>
    </row>
    <row r="255">
      <c r="D255" t="inlineStr">
        <is>
          <t>French</t>
        </is>
      </c>
      <c r="E255" t="inlineStr">
        <is>
          <t>LeaveOfAbsence</t>
        </is>
      </c>
      <c r="F255" t="n">
        <v>120</v>
      </c>
      <c r="G255" t="n">
        <v>103</v>
      </c>
      <c r="H255" t="n">
        <v>17</v>
      </c>
      <c r="I255" t="inlineStr">
        <is>
          <t>85.83333333333333%</t>
        </is>
      </c>
      <c r="J255" t="inlineStr">
        <is>
          <t>14.166666666666666%</t>
        </is>
      </c>
    </row>
    <row r="256">
      <c r="D256" t="inlineStr">
        <is>
          <t>French</t>
        </is>
      </c>
      <c r="E256" t="inlineStr">
        <is>
          <t>LegalFinancial</t>
        </is>
      </c>
      <c r="F256" t="n">
        <v>120</v>
      </c>
      <c r="G256" t="n">
        <v>105</v>
      </c>
      <c r="H256" t="n">
        <v>15</v>
      </c>
      <c r="I256" t="inlineStr">
        <is>
          <t>87.5%</t>
        </is>
      </c>
      <c r="J256" t="inlineStr">
        <is>
          <t>12.5%</t>
        </is>
      </c>
    </row>
    <row r="257">
      <c r="D257" t="inlineStr">
        <is>
          <t>French</t>
        </is>
      </c>
      <c r="E257" t="inlineStr">
        <is>
          <t>Medical</t>
        </is>
      </c>
      <c r="F257" t="n">
        <v>600</v>
      </c>
      <c r="G257" t="n">
        <v>517</v>
      </c>
      <c r="H257" t="n">
        <v>83</v>
      </c>
      <c r="I257" t="inlineStr">
        <is>
          <t>86.16666666666667%</t>
        </is>
      </c>
      <c r="J257" t="inlineStr">
        <is>
          <t>13.833333333333334%</t>
        </is>
      </c>
    </row>
    <row r="258">
      <c r="D258" t="inlineStr">
        <is>
          <t>French</t>
        </is>
      </c>
      <c r="E258" t="inlineStr">
        <is>
          <t>MedicalHelp</t>
        </is>
      </c>
      <c r="F258" t="n">
        <v>120</v>
      </c>
      <c r="G258" t="n">
        <v>101</v>
      </c>
      <c r="H258" t="n">
        <v>19</v>
      </c>
      <c r="I258" t="inlineStr">
        <is>
          <t>84.16666666666667%</t>
        </is>
      </c>
      <c r="J258" t="inlineStr">
        <is>
          <t>15.833333333333332%</t>
        </is>
      </c>
    </row>
    <row r="259">
      <c r="D259" t="inlineStr">
        <is>
          <t>French</t>
        </is>
      </c>
      <c r="E259" t="inlineStr">
        <is>
          <t>MemberId</t>
        </is>
      </c>
      <c r="F259" t="n">
        <v>120</v>
      </c>
      <c r="G259" t="n">
        <v>103</v>
      </c>
      <c r="H259" t="n">
        <v>17</v>
      </c>
      <c r="I259" t="inlineStr">
        <is>
          <t>85.83333333333333%</t>
        </is>
      </c>
      <c r="J259" t="inlineStr">
        <is>
          <t>14.166666666666666%</t>
        </is>
      </c>
    </row>
    <row r="260">
      <c r="D260" t="inlineStr">
        <is>
          <t>French</t>
        </is>
      </c>
      <c r="E260" t="inlineStr">
        <is>
          <t>Pharmacy</t>
        </is>
      </c>
      <c r="F260" t="n">
        <v>120</v>
      </c>
      <c r="G260" t="n">
        <v>103</v>
      </c>
      <c r="H260" t="n">
        <v>17</v>
      </c>
      <c r="I260" t="inlineStr">
        <is>
          <t>85.83333333333333%</t>
        </is>
      </c>
      <c r="J260" t="inlineStr">
        <is>
          <t>14.166666666666666%</t>
        </is>
      </c>
    </row>
    <row r="261">
      <c r="D261" t="inlineStr">
        <is>
          <t>French</t>
        </is>
      </c>
      <c r="E261" t="inlineStr">
        <is>
          <t>PreApproval</t>
        </is>
      </c>
      <c r="F261" t="n">
        <v>360</v>
      </c>
      <c r="G261" t="n">
        <v>308</v>
      </c>
      <c r="H261" t="n">
        <v>52</v>
      </c>
      <c r="I261" t="inlineStr">
        <is>
          <t>85.55555555555556%</t>
        </is>
      </c>
      <c r="J261" t="inlineStr">
        <is>
          <t>14.444444444444443%</t>
        </is>
      </c>
    </row>
    <row r="262">
      <c r="D262" t="inlineStr">
        <is>
          <t>French</t>
        </is>
      </c>
      <c r="E262" t="inlineStr">
        <is>
          <t>Review</t>
        </is>
      </c>
      <c r="F262" t="n">
        <v>240</v>
      </c>
      <c r="G262" t="n">
        <v>206</v>
      </c>
      <c r="H262" t="n">
        <v>34</v>
      </c>
      <c r="I262" t="inlineStr">
        <is>
          <t>85.83333333333333%</t>
        </is>
      </c>
      <c r="J262" t="inlineStr">
        <is>
          <t>14.166666666666666%</t>
        </is>
      </c>
    </row>
    <row r="263">
      <c r="D263" t="inlineStr">
        <is>
          <t>French</t>
        </is>
      </c>
      <c r="E263" t="inlineStr">
        <is>
          <t>Spanish</t>
        </is>
      </c>
      <c r="F263" t="n">
        <v>120</v>
      </c>
      <c r="G263" t="n">
        <v>104</v>
      </c>
      <c r="H263" t="n">
        <v>16</v>
      </c>
      <c r="I263" t="inlineStr">
        <is>
          <t>86.66666666666667%</t>
        </is>
      </c>
      <c r="J263" t="inlineStr">
        <is>
          <t>13.333333333333334%</t>
        </is>
      </c>
    </row>
    <row r="264">
      <c r="D264" t="inlineStr">
        <is>
          <t>French</t>
        </is>
      </c>
      <c r="E264" t="inlineStr">
        <is>
          <t>Submission</t>
        </is>
      </c>
      <c r="F264" t="n">
        <v>120</v>
      </c>
      <c r="G264" t="n">
        <v>103</v>
      </c>
      <c r="H264" t="n">
        <v>17</v>
      </c>
      <c r="I264" t="inlineStr">
        <is>
          <t>85.83333333333333%</t>
        </is>
      </c>
      <c r="J264" t="inlineStr">
        <is>
          <t>14.166666666666666%</t>
        </is>
      </c>
    </row>
    <row r="265">
      <c r="D265" t="inlineStr">
        <is>
          <t>French</t>
        </is>
      </c>
      <c r="E265" t="inlineStr">
        <is>
          <t>Transplants</t>
        </is>
      </c>
      <c r="F265" t="n">
        <v>120</v>
      </c>
      <c r="G265" t="n">
        <v>100</v>
      </c>
      <c r="H265" t="n">
        <v>20</v>
      </c>
      <c r="I265" t="inlineStr">
        <is>
          <t>83.33333333333334%</t>
        </is>
      </c>
      <c r="J265" t="inlineStr">
        <is>
          <t>16.666666666666664%</t>
        </is>
      </c>
    </row>
    <row r="266">
      <c r="D266" t="inlineStr">
        <is>
          <t>French</t>
        </is>
      </c>
      <c r="E266" t="inlineStr">
        <is>
          <t>Transportation</t>
        </is>
      </c>
      <c r="F266" t="n">
        <v>120</v>
      </c>
      <c r="G266" t="n">
        <v>102</v>
      </c>
      <c r="H266" t="n">
        <v>18</v>
      </c>
      <c r="I266" t="inlineStr">
        <is>
          <t>85.0%</t>
        </is>
      </c>
      <c r="J266" t="inlineStr">
        <is>
          <t>15.0%</t>
        </is>
      </c>
    </row>
    <row r="267">
      <c r="D267" t="inlineStr">
        <is>
          <t>French</t>
        </is>
      </c>
      <c r="E267" t="inlineStr">
        <is>
          <t>Travel</t>
        </is>
      </c>
      <c r="F267" t="n">
        <v>120</v>
      </c>
      <c r="G267" t="n">
        <v>102</v>
      </c>
      <c r="H267" t="n">
        <v>18</v>
      </c>
      <c r="I267" t="inlineStr">
        <is>
          <t>85.0%</t>
        </is>
      </c>
      <c r="J267" t="inlineStr">
        <is>
          <t>15.0%</t>
        </is>
      </c>
    </row>
    <row r="268">
      <c r="D268" t="inlineStr">
        <is>
          <t>French</t>
        </is>
      </c>
      <c r="E268" t="inlineStr">
        <is>
          <t>Verbal</t>
        </is>
      </c>
      <c r="F268" t="n">
        <v>120</v>
      </c>
      <c r="G268" t="n">
        <v>103</v>
      </c>
      <c r="H268" t="n">
        <v>17</v>
      </c>
      <c r="I268" t="inlineStr">
        <is>
          <t>85.83333333333333%</t>
        </is>
      </c>
      <c r="J268" t="inlineStr">
        <is>
          <t>14.166666666666666%</t>
        </is>
      </c>
    </row>
    <row r="269">
      <c r="D269" t="inlineStr">
        <is>
          <t>French</t>
        </is>
      </c>
      <c r="E269" t="inlineStr">
        <is>
          <t>Vision</t>
        </is>
      </c>
      <c r="F269" t="n">
        <v>120</v>
      </c>
      <c r="G269" t="n">
        <v>101</v>
      </c>
      <c r="H269" t="n">
        <v>19</v>
      </c>
      <c r="I269" t="inlineStr">
        <is>
          <t>84.16666666666667%</t>
        </is>
      </c>
      <c r="J269" t="inlineStr">
        <is>
          <t>15.833333333333332%</t>
        </is>
      </c>
    </row>
    <row r="270">
      <c r="D270" t="inlineStr">
        <is>
          <t>French</t>
        </is>
      </c>
      <c r="E270" t="inlineStr">
        <is>
          <t>Wellness</t>
        </is>
      </c>
      <c r="F270" t="n">
        <v>120</v>
      </c>
      <c r="G270" t="n">
        <v>106</v>
      </c>
      <c r="H270" t="n">
        <v>14</v>
      </c>
      <c r="I270" t="inlineStr">
        <is>
          <t>88.33333333333333%</t>
        </is>
      </c>
      <c r="J270" t="inlineStr">
        <is>
          <t>11.666666666666666%</t>
        </is>
      </c>
    </row>
    <row r="271">
      <c r="D271" t="inlineStr">
        <is>
          <t>French</t>
        </is>
      </c>
      <c r="E271" t="inlineStr">
        <is>
          <t>Womens</t>
        </is>
      </c>
      <c r="F271" t="n">
        <v>120</v>
      </c>
      <c r="G271" t="n">
        <v>100</v>
      </c>
      <c r="H271" t="n">
        <v>20</v>
      </c>
      <c r="I271" t="inlineStr">
        <is>
          <t>83.33333333333334%</t>
        </is>
      </c>
      <c r="J271" t="inlineStr">
        <is>
          <t>16.666666666666664%</t>
        </is>
      </c>
    </row>
    <row r="272">
      <c r="D272" t="inlineStr">
        <is>
          <t>French</t>
        </is>
      </c>
      <c r="E272" t="inlineStr">
        <is>
          <t>claims</t>
        </is>
      </c>
      <c r="F272" t="n">
        <v>606</v>
      </c>
      <c r="G272" t="n">
        <v>513</v>
      </c>
      <c r="H272" t="n">
        <v>93</v>
      </c>
      <c r="I272" t="inlineStr">
        <is>
          <t>84.65346534653465%</t>
        </is>
      </c>
      <c r="J272" t="inlineStr">
        <is>
          <t>15.346534653465346%</t>
        </is>
      </c>
    </row>
    <row r="273">
      <c r="D273" t="inlineStr">
        <is>
          <t>French</t>
        </is>
      </c>
      <c r="E273" t="inlineStr">
        <is>
          <t>cob</t>
        </is>
      </c>
      <c r="F273" t="n">
        <v>120</v>
      </c>
      <c r="G273" t="n">
        <v>105</v>
      </c>
      <c r="H273" t="n">
        <v>15</v>
      </c>
      <c r="I273" t="inlineStr">
        <is>
          <t>87.5%</t>
        </is>
      </c>
      <c r="J273" t="inlineStr">
        <is>
          <t>12.5%</t>
        </is>
      </c>
    </row>
    <row r="274">
      <c r="D274" t="inlineStr">
        <is>
          <t>French</t>
        </is>
      </c>
      <c r="E274" t="inlineStr">
        <is>
          <t>contact</t>
        </is>
      </c>
      <c r="F274" t="n">
        <v>120</v>
      </c>
      <c r="G274" t="n">
        <v>103</v>
      </c>
      <c r="H274" t="n">
        <v>17</v>
      </c>
      <c r="I274" t="inlineStr">
        <is>
          <t>85.83333333333333%</t>
        </is>
      </c>
      <c r="J274" t="inlineStr">
        <is>
          <t>14.166666666666666%</t>
        </is>
      </c>
    </row>
    <row r="275">
      <c r="D275" t="inlineStr">
        <is>
          <t>French</t>
        </is>
      </c>
      <c r="E275" t="inlineStr">
        <is>
          <t>employeeAssistance</t>
        </is>
      </c>
      <c r="F275" t="n">
        <v>360</v>
      </c>
      <c r="G275" t="n">
        <v>309</v>
      </c>
      <c r="H275" t="n">
        <v>51</v>
      </c>
      <c r="I275" t="inlineStr">
        <is>
          <t>85.83333333333333%</t>
        </is>
      </c>
      <c r="J275" t="inlineStr">
        <is>
          <t>14.166666666666666%</t>
        </is>
      </c>
    </row>
    <row r="276">
      <c r="D276" t="inlineStr">
        <is>
          <t>French</t>
        </is>
      </c>
      <c r="E276" t="inlineStr">
        <is>
          <t>financialAccount</t>
        </is>
      </c>
      <c r="F276" t="n">
        <v>120</v>
      </c>
      <c r="G276" t="n">
        <v>106</v>
      </c>
      <c r="H276" t="n">
        <v>14</v>
      </c>
      <c r="I276" t="inlineStr">
        <is>
          <t>88.33333333333333%</t>
        </is>
      </c>
      <c r="J276" t="inlineStr">
        <is>
          <t>11.666666666666666%</t>
        </is>
      </c>
    </row>
    <row r="277">
      <c r="D277" t="inlineStr">
        <is>
          <t>French</t>
        </is>
      </c>
      <c r="E277" t="inlineStr">
        <is>
          <t>preApproval</t>
        </is>
      </c>
      <c r="F277" t="n">
        <v>360</v>
      </c>
      <c r="G277" t="n">
        <v>314</v>
      </c>
      <c r="H277" t="n">
        <v>46</v>
      </c>
      <c r="I277" t="inlineStr">
        <is>
          <t>87.22222222222223%</t>
        </is>
      </c>
      <c r="J277" t="inlineStr">
        <is>
          <t>12.777777777777777%</t>
        </is>
      </c>
    </row>
    <row r="278">
      <c r="D278" t="inlineStr">
        <is>
          <t>French</t>
        </is>
      </c>
      <c r="E278" t="inlineStr">
        <is>
          <t>websiteSupport</t>
        </is>
      </c>
      <c r="F278" t="n">
        <v>240</v>
      </c>
      <c r="G278" t="n">
        <v>201</v>
      </c>
      <c r="H278" t="n">
        <v>39</v>
      </c>
      <c r="I278" t="inlineStr">
        <is>
          <t>83.75%</t>
        </is>
      </c>
      <c r="J278" t="inlineStr">
        <is>
          <t>16.25%</t>
        </is>
      </c>
    </row>
    <row r="279">
      <c r="D279" s="17" t="inlineStr">
        <is>
          <t>Total</t>
        </is>
      </c>
      <c r="F279" s="17" t="n">
        <v>9642</v>
      </c>
      <c r="G279" s="17" t="n">
        <v>8210</v>
      </c>
      <c r="H279" s="17" t="n">
        <v>1432</v>
      </c>
      <c r="I279" s="17" t="inlineStr">
        <is>
          <t>85.1483%</t>
        </is>
      </c>
      <c r="J279" s="17" t="inlineStr">
        <is>
          <t>14.8517%</t>
        </is>
      </c>
    </row>
    <row r="280">
      <c r="D280" s="17" t="inlineStr">
        <is>
          <t>Total</t>
        </is>
      </c>
      <c r="E280" t="inlineStr">
        <is>
          <t>ABA</t>
        </is>
      </c>
      <c r="F280" s="17" t="n">
        <v>9642</v>
      </c>
      <c r="G280" s="17" t="n">
        <v>8210</v>
      </c>
      <c r="H280" s="17" t="n">
        <v>1432</v>
      </c>
      <c r="I280" s="17" t="inlineStr">
        <is>
          <t>85.1483%</t>
        </is>
      </c>
      <c r="J280" s="17" t="inlineStr">
        <is>
          <t>14.8517%</t>
        </is>
      </c>
    </row>
    <row r="281">
      <c r="D281" t="inlineStr">
        <is>
          <t>Indian</t>
        </is>
      </c>
      <c r="E281" t="inlineStr">
        <is>
          <t>Address</t>
        </is>
      </c>
      <c r="F281" t="n">
        <v>120</v>
      </c>
      <c r="G281" t="n">
        <v>100</v>
      </c>
      <c r="H281" t="n">
        <v>20</v>
      </c>
      <c r="I281" t="inlineStr">
        <is>
          <t>83.33333333333334%</t>
        </is>
      </c>
      <c r="J281" t="inlineStr">
        <is>
          <t>16.666666666666664%</t>
        </is>
      </c>
    </row>
    <row r="282">
      <c r="D282" t="inlineStr">
        <is>
          <t>Indian</t>
        </is>
      </c>
      <c r="E282" t="inlineStr">
        <is>
          <t>Agent</t>
        </is>
      </c>
      <c r="F282" t="n">
        <v>720</v>
      </c>
      <c r="G282" t="n">
        <v>603</v>
      </c>
      <c r="H282" t="n">
        <v>117</v>
      </c>
      <c r="I282" t="inlineStr">
        <is>
          <t>83.75%</t>
        </is>
      </c>
      <c r="J282" t="inlineStr">
        <is>
          <t>16.25%</t>
        </is>
      </c>
    </row>
    <row r="283">
      <c r="D283" t="inlineStr">
        <is>
          <t>Indian</t>
        </is>
      </c>
      <c r="E283" t="inlineStr">
        <is>
          <t>Agreement</t>
        </is>
      </c>
      <c r="F283" t="n">
        <v>120</v>
      </c>
      <c r="G283" t="n">
        <v>100</v>
      </c>
      <c r="H283" t="n">
        <v>20</v>
      </c>
      <c r="I283" t="inlineStr">
        <is>
          <t>83.33333333333334%</t>
        </is>
      </c>
      <c r="J283" t="inlineStr">
        <is>
          <t>16.666666666666664%</t>
        </is>
      </c>
    </row>
    <row r="284">
      <c r="D284" t="inlineStr">
        <is>
          <t>Indian</t>
        </is>
      </c>
      <c r="E284" t="inlineStr">
        <is>
          <t>Appointment</t>
        </is>
      </c>
      <c r="F284" t="n">
        <v>120</v>
      </c>
      <c r="G284" t="n">
        <v>102</v>
      </c>
      <c r="H284" t="n">
        <v>18</v>
      </c>
      <c r="I284" t="inlineStr">
        <is>
          <t>85.0%</t>
        </is>
      </c>
      <c r="J284" t="inlineStr">
        <is>
          <t>15.0%</t>
        </is>
      </c>
    </row>
    <row r="285">
      <c r="D285" t="inlineStr">
        <is>
          <t>Indian</t>
        </is>
      </c>
      <c r="E285" t="inlineStr">
        <is>
          <t>Benefits</t>
        </is>
      </c>
      <c r="F285" t="n">
        <v>396</v>
      </c>
      <c r="G285" t="n">
        <v>336</v>
      </c>
      <c r="H285" t="n">
        <v>60</v>
      </c>
      <c r="I285" t="inlineStr">
        <is>
          <t>84.84848484848484%</t>
        </is>
      </c>
      <c r="J285" t="inlineStr">
        <is>
          <t>15.151515151515152%</t>
        </is>
      </c>
    </row>
    <row r="286">
      <c r="D286" t="inlineStr">
        <is>
          <t>Indian</t>
        </is>
      </c>
      <c r="E286" t="inlineStr">
        <is>
          <t>Cancel</t>
        </is>
      </c>
      <c r="F286" t="n">
        <v>120</v>
      </c>
      <c r="G286" t="n">
        <v>100</v>
      </c>
      <c r="H286" t="n">
        <v>20</v>
      </c>
      <c r="I286" t="inlineStr">
        <is>
          <t>83.33333333333334%</t>
        </is>
      </c>
      <c r="J286" t="inlineStr">
        <is>
          <t>16.666666666666664%</t>
        </is>
      </c>
    </row>
    <row r="287">
      <c r="D287" t="inlineStr">
        <is>
          <t>Indian</t>
        </is>
      </c>
      <c r="E287" t="inlineStr">
        <is>
          <t>Cancer</t>
        </is>
      </c>
      <c r="F287" t="n">
        <v>120</v>
      </c>
      <c r="G287" t="n">
        <v>107</v>
      </c>
      <c r="H287" t="n">
        <v>13</v>
      </c>
      <c r="I287" t="inlineStr">
        <is>
          <t>89.16666666666667%</t>
        </is>
      </c>
      <c r="J287" t="inlineStr">
        <is>
          <t>10.833333333333334%</t>
        </is>
      </c>
    </row>
    <row r="288">
      <c r="D288" t="inlineStr">
        <is>
          <t>Indian</t>
        </is>
      </c>
      <c r="E288" t="inlineStr">
        <is>
          <t>Cards</t>
        </is>
      </c>
      <c r="F288" t="n">
        <v>120</v>
      </c>
      <c r="G288" t="n">
        <v>105</v>
      </c>
      <c r="H288" t="n">
        <v>15</v>
      </c>
      <c r="I288" t="inlineStr">
        <is>
          <t>87.5%</t>
        </is>
      </c>
      <c r="J288" t="inlineStr">
        <is>
          <t>12.5%</t>
        </is>
      </c>
    </row>
    <row r="289">
      <c r="D289" t="inlineStr">
        <is>
          <t>Indian</t>
        </is>
      </c>
      <c r="E289" t="inlineStr">
        <is>
          <t>Clinical</t>
        </is>
      </c>
      <c r="F289" t="n">
        <v>360</v>
      </c>
      <c r="G289" t="n">
        <v>304</v>
      </c>
      <c r="H289" t="n">
        <v>56</v>
      </c>
      <c r="I289" t="inlineStr">
        <is>
          <t>84.44444444444444%</t>
        </is>
      </c>
      <c r="J289" t="inlineStr">
        <is>
          <t>15.555555555555555%</t>
        </is>
      </c>
    </row>
    <row r="290">
      <c r="D290" t="inlineStr">
        <is>
          <t>Indian</t>
        </is>
      </c>
      <c r="E290" t="inlineStr">
        <is>
          <t>Contact</t>
        </is>
      </c>
      <c r="F290" t="n">
        <v>240</v>
      </c>
      <c r="G290" t="n">
        <v>202</v>
      </c>
      <c r="H290" t="n">
        <v>38</v>
      </c>
      <c r="I290" t="inlineStr">
        <is>
          <t>84.16666666666667%</t>
        </is>
      </c>
      <c r="J290" t="inlineStr">
        <is>
          <t>15.833333333333332%</t>
        </is>
      </c>
    </row>
    <row r="291">
      <c r="D291" t="inlineStr">
        <is>
          <t>Indian</t>
        </is>
      </c>
      <c r="E291" t="inlineStr">
        <is>
          <t>Credentialing</t>
        </is>
      </c>
      <c r="F291" t="n">
        <v>120</v>
      </c>
      <c r="G291" t="n">
        <v>104</v>
      </c>
      <c r="H291" t="n">
        <v>16</v>
      </c>
      <c r="I291" t="inlineStr">
        <is>
          <t>86.66666666666667%</t>
        </is>
      </c>
      <c r="J291" t="inlineStr">
        <is>
          <t>13.333333333333334%</t>
        </is>
      </c>
    </row>
    <row r="292">
      <c r="D292" t="inlineStr">
        <is>
          <t>Indian</t>
        </is>
      </c>
      <c r="E292" t="inlineStr">
        <is>
          <t>DemographicUpdate</t>
        </is>
      </c>
      <c r="F292" t="n">
        <v>120</v>
      </c>
      <c r="G292" t="n">
        <v>109</v>
      </c>
      <c r="H292" t="n">
        <v>11</v>
      </c>
      <c r="I292" t="inlineStr">
        <is>
          <t>90.83333333333333%</t>
        </is>
      </c>
      <c r="J292" t="inlineStr">
        <is>
          <t>9.166666666666666%</t>
        </is>
      </c>
    </row>
    <row r="293">
      <c r="D293" t="inlineStr">
        <is>
          <t>Indian</t>
        </is>
      </c>
      <c r="E293" t="inlineStr">
        <is>
          <t>Dental</t>
        </is>
      </c>
      <c r="F293" t="n">
        <v>120</v>
      </c>
      <c r="G293" t="n">
        <v>100</v>
      </c>
      <c r="H293" t="n">
        <v>20</v>
      </c>
      <c r="I293" t="inlineStr">
        <is>
          <t>83.33333333333334%</t>
        </is>
      </c>
      <c r="J293" t="inlineStr">
        <is>
          <t>16.666666666666664%</t>
        </is>
      </c>
    </row>
    <row r="294">
      <c r="D294" t="inlineStr">
        <is>
          <t>Indian</t>
        </is>
      </c>
      <c r="E294" t="inlineStr">
        <is>
          <t>DisAmBig</t>
        </is>
      </c>
      <c r="F294" t="n">
        <v>360</v>
      </c>
      <c r="G294" t="n">
        <v>306</v>
      </c>
      <c r="H294" t="n">
        <v>54</v>
      </c>
      <c r="I294" t="inlineStr">
        <is>
          <t>85.0%</t>
        </is>
      </c>
      <c r="J294" t="inlineStr">
        <is>
          <t>15.0%</t>
        </is>
      </c>
    </row>
    <row r="295">
      <c r="D295" t="inlineStr">
        <is>
          <t>Indian</t>
        </is>
      </c>
      <c r="E295" t="inlineStr">
        <is>
          <t>Disability</t>
        </is>
      </c>
      <c r="F295" t="n">
        <v>120</v>
      </c>
      <c r="G295" t="n">
        <v>101</v>
      </c>
      <c r="H295" t="n">
        <v>19</v>
      </c>
      <c r="I295" t="inlineStr">
        <is>
          <t>84.16666666666667%</t>
        </is>
      </c>
      <c r="J295" t="inlineStr">
        <is>
          <t>15.833333333333332%</t>
        </is>
      </c>
    </row>
    <row r="296">
      <c r="D296" t="inlineStr">
        <is>
          <t>Indian</t>
        </is>
      </c>
      <c r="E296" t="inlineStr">
        <is>
          <t>Discharge</t>
        </is>
      </c>
      <c r="F296" t="n">
        <v>120</v>
      </c>
      <c r="G296" t="n">
        <v>100</v>
      </c>
      <c r="H296" t="n">
        <v>20</v>
      </c>
      <c r="I296" t="inlineStr">
        <is>
          <t>83.33333333333334%</t>
        </is>
      </c>
      <c r="J296" t="inlineStr">
        <is>
          <t>16.666666666666664%</t>
        </is>
      </c>
    </row>
    <row r="297">
      <c r="D297" t="inlineStr">
        <is>
          <t>Indian</t>
        </is>
      </c>
      <c r="E297" t="inlineStr">
        <is>
          <t>Doctor</t>
        </is>
      </c>
      <c r="F297" t="n">
        <v>480</v>
      </c>
      <c r="G297" t="n">
        <v>410</v>
      </c>
      <c r="H297" t="n">
        <v>70</v>
      </c>
      <c r="I297" t="inlineStr">
        <is>
          <t>85.41666666666666%</t>
        </is>
      </c>
      <c r="J297" t="inlineStr">
        <is>
          <t>14.583333333333334%</t>
        </is>
      </c>
    </row>
    <row r="298">
      <c r="D298" t="inlineStr">
        <is>
          <t>Indian</t>
        </is>
      </c>
      <c r="E298" t="inlineStr">
        <is>
          <t>EFT</t>
        </is>
      </c>
      <c r="F298" t="n">
        <v>120</v>
      </c>
      <c r="G298" t="n">
        <v>102</v>
      </c>
      <c r="H298" t="n">
        <v>18</v>
      </c>
      <c r="I298" t="inlineStr">
        <is>
          <t>85.0%</t>
        </is>
      </c>
      <c r="J298" t="inlineStr">
        <is>
          <t>15.0%</t>
        </is>
      </c>
    </row>
    <row r="299">
      <c r="D299" t="inlineStr">
        <is>
          <t>Indian</t>
        </is>
      </c>
      <c r="E299" t="inlineStr">
        <is>
          <t>Emergency</t>
        </is>
      </c>
      <c r="F299" t="n">
        <v>120</v>
      </c>
      <c r="G299" t="n">
        <v>105</v>
      </c>
      <c r="H299" t="n">
        <v>15</v>
      </c>
      <c r="I299" t="inlineStr">
        <is>
          <t>87.5%</t>
        </is>
      </c>
      <c r="J299" t="inlineStr">
        <is>
          <t>12.5%</t>
        </is>
      </c>
    </row>
    <row r="300">
      <c r="D300" t="inlineStr">
        <is>
          <t>Indian</t>
        </is>
      </c>
      <c r="E300" t="inlineStr">
        <is>
          <t>Enrollment</t>
        </is>
      </c>
      <c r="F300" t="n">
        <v>120</v>
      </c>
      <c r="G300" t="n">
        <v>101</v>
      </c>
      <c r="H300" t="n">
        <v>19</v>
      </c>
      <c r="I300" t="inlineStr">
        <is>
          <t>84.16666666666667%</t>
        </is>
      </c>
      <c r="J300" t="inlineStr">
        <is>
          <t>15.833333333333332%</t>
        </is>
      </c>
    </row>
    <row r="301">
      <c r="D301" t="inlineStr">
        <is>
          <t>Indian</t>
        </is>
      </c>
      <c r="E301" t="inlineStr">
        <is>
          <t>Extension</t>
        </is>
      </c>
      <c r="F301" t="n">
        <v>120</v>
      </c>
      <c r="G301" t="n">
        <v>100</v>
      </c>
      <c r="H301" t="n">
        <v>20</v>
      </c>
      <c r="I301" t="inlineStr">
        <is>
          <t>83.33333333333334%</t>
        </is>
      </c>
      <c r="J301" t="inlineStr">
        <is>
          <t>16.666666666666664%</t>
        </is>
      </c>
    </row>
    <row r="302">
      <c r="D302" t="inlineStr">
        <is>
          <t>Indian</t>
        </is>
      </c>
      <c r="E302" t="inlineStr">
        <is>
          <t>Fax</t>
        </is>
      </c>
      <c r="F302" t="n">
        <v>120</v>
      </c>
      <c r="G302" t="n">
        <v>101</v>
      </c>
      <c r="H302" t="n">
        <v>19</v>
      </c>
      <c r="I302" t="inlineStr">
        <is>
          <t>84.16666666666667%</t>
        </is>
      </c>
      <c r="J302" t="inlineStr">
        <is>
          <t>15.833333333333332%</t>
        </is>
      </c>
    </row>
    <row r="303">
      <c r="D303" t="inlineStr">
        <is>
          <t>Indian</t>
        </is>
      </c>
      <c r="E303" t="inlineStr">
        <is>
          <t>Fee</t>
        </is>
      </c>
      <c r="F303" t="n">
        <v>120</v>
      </c>
      <c r="G303" t="n">
        <v>101</v>
      </c>
      <c r="H303" t="n">
        <v>19</v>
      </c>
      <c r="I303" t="inlineStr">
        <is>
          <t>84.16666666666667%</t>
        </is>
      </c>
      <c r="J303" t="inlineStr">
        <is>
          <t>15.833333333333332%</t>
        </is>
      </c>
    </row>
    <row r="304">
      <c r="D304" t="inlineStr">
        <is>
          <t>Indian</t>
        </is>
      </c>
      <c r="E304" t="inlineStr">
        <is>
          <t>Fraud</t>
        </is>
      </c>
      <c r="F304" t="n">
        <v>120</v>
      </c>
      <c r="G304" t="n">
        <v>103</v>
      </c>
      <c r="H304" t="n">
        <v>17</v>
      </c>
      <c r="I304" t="inlineStr">
        <is>
          <t>85.83333333333333%</t>
        </is>
      </c>
      <c r="J304" t="inlineStr">
        <is>
          <t>14.166666666666666%</t>
        </is>
      </c>
    </row>
    <row r="305">
      <c r="D305" t="inlineStr">
        <is>
          <t>Indian</t>
        </is>
      </c>
      <c r="E305" t="inlineStr">
        <is>
          <t>LeaveOfAbsence</t>
        </is>
      </c>
      <c r="F305" t="n">
        <v>120</v>
      </c>
      <c r="G305" t="n">
        <v>105</v>
      </c>
      <c r="H305" t="n">
        <v>15</v>
      </c>
      <c r="I305" t="inlineStr">
        <is>
          <t>87.5%</t>
        </is>
      </c>
      <c r="J305" t="inlineStr">
        <is>
          <t>12.5%</t>
        </is>
      </c>
    </row>
    <row r="306">
      <c r="D306" t="inlineStr">
        <is>
          <t>Indian</t>
        </is>
      </c>
      <c r="E306" t="inlineStr">
        <is>
          <t>LegalFinancial</t>
        </is>
      </c>
      <c r="F306" t="n">
        <v>120</v>
      </c>
      <c r="G306" t="n">
        <v>102</v>
      </c>
      <c r="H306" t="n">
        <v>18</v>
      </c>
      <c r="I306" t="inlineStr">
        <is>
          <t>85.0%</t>
        </is>
      </c>
      <c r="J306" t="inlineStr">
        <is>
          <t>15.0%</t>
        </is>
      </c>
    </row>
    <row r="307">
      <c r="D307" t="inlineStr">
        <is>
          <t>Indian</t>
        </is>
      </c>
      <c r="E307" t="inlineStr">
        <is>
          <t>Medical</t>
        </is>
      </c>
      <c r="F307" t="n">
        <v>600</v>
      </c>
      <c r="G307" t="n">
        <v>503</v>
      </c>
      <c r="H307" t="n">
        <v>97</v>
      </c>
      <c r="I307" t="inlineStr">
        <is>
          <t>83.83333333333334%</t>
        </is>
      </c>
      <c r="J307" t="inlineStr">
        <is>
          <t>16.166666666666664%</t>
        </is>
      </c>
    </row>
    <row r="308">
      <c r="D308" t="inlineStr">
        <is>
          <t>Indian</t>
        </is>
      </c>
      <c r="E308" t="inlineStr">
        <is>
          <t>MedicalHelp</t>
        </is>
      </c>
      <c r="F308" t="n">
        <v>120</v>
      </c>
      <c r="G308" t="n">
        <v>102</v>
      </c>
      <c r="H308" t="n">
        <v>18</v>
      </c>
      <c r="I308" t="inlineStr">
        <is>
          <t>85.0%</t>
        </is>
      </c>
      <c r="J308" t="inlineStr">
        <is>
          <t>15.0%</t>
        </is>
      </c>
    </row>
    <row r="309">
      <c r="D309" t="inlineStr">
        <is>
          <t>Indian</t>
        </is>
      </c>
      <c r="E309" t="inlineStr">
        <is>
          <t>MemberId</t>
        </is>
      </c>
      <c r="F309" t="n">
        <v>120</v>
      </c>
      <c r="G309" t="n">
        <v>105</v>
      </c>
      <c r="H309" t="n">
        <v>15</v>
      </c>
      <c r="I309" t="inlineStr">
        <is>
          <t>87.5%</t>
        </is>
      </c>
      <c r="J309" t="inlineStr">
        <is>
          <t>12.5%</t>
        </is>
      </c>
    </row>
    <row r="310">
      <c r="D310" t="inlineStr">
        <is>
          <t>Indian</t>
        </is>
      </c>
      <c r="E310" t="inlineStr">
        <is>
          <t>Pharmacy</t>
        </is>
      </c>
      <c r="F310" t="n">
        <v>120</v>
      </c>
      <c r="G310" t="n">
        <v>104</v>
      </c>
      <c r="H310" t="n">
        <v>16</v>
      </c>
      <c r="I310" t="inlineStr">
        <is>
          <t>86.66666666666667%</t>
        </is>
      </c>
      <c r="J310" t="inlineStr">
        <is>
          <t>13.333333333333334%</t>
        </is>
      </c>
    </row>
    <row r="311">
      <c r="D311" t="inlineStr">
        <is>
          <t>Indian</t>
        </is>
      </c>
      <c r="E311" t="inlineStr">
        <is>
          <t>PreApproval</t>
        </is>
      </c>
      <c r="F311" t="n">
        <v>360</v>
      </c>
      <c r="G311" t="n">
        <v>306</v>
      </c>
      <c r="H311" t="n">
        <v>54</v>
      </c>
      <c r="I311" t="inlineStr">
        <is>
          <t>85.0%</t>
        </is>
      </c>
      <c r="J311" t="inlineStr">
        <is>
          <t>15.0%</t>
        </is>
      </c>
    </row>
    <row r="312">
      <c r="D312" t="inlineStr">
        <is>
          <t>Indian</t>
        </is>
      </c>
      <c r="E312" t="inlineStr">
        <is>
          <t>Review</t>
        </is>
      </c>
      <c r="F312" t="n">
        <v>240</v>
      </c>
      <c r="G312" t="n">
        <v>206</v>
      </c>
      <c r="H312" t="n">
        <v>34</v>
      </c>
      <c r="I312" t="inlineStr">
        <is>
          <t>85.83333333333333%</t>
        </is>
      </c>
      <c r="J312" t="inlineStr">
        <is>
          <t>14.166666666666666%</t>
        </is>
      </c>
    </row>
    <row r="313">
      <c r="D313" t="inlineStr">
        <is>
          <t>Indian</t>
        </is>
      </c>
      <c r="E313" t="inlineStr">
        <is>
          <t>Spanish</t>
        </is>
      </c>
      <c r="F313" t="n">
        <v>120</v>
      </c>
      <c r="G313" t="n">
        <v>103</v>
      </c>
      <c r="H313" t="n">
        <v>17</v>
      </c>
      <c r="I313" t="inlineStr">
        <is>
          <t>85.83333333333333%</t>
        </is>
      </c>
      <c r="J313" t="inlineStr">
        <is>
          <t>14.166666666666666%</t>
        </is>
      </c>
    </row>
    <row r="314">
      <c r="D314" t="inlineStr">
        <is>
          <t>Indian</t>
        </is>
      </c>
      <c r="E314" t="inlineStr">
        <is>
          <t>Submission</t>
        </is>
      </c>
      <c r="F314" t="n">
        <v>120</v>
      </c>
      <c r="G314" t="n">
        <v>100</v>
      </c>
      <c r="H314" t="n">
        <v>20</v>
      </c>
      <c r="I314" t="inlineStr">
        <is>
          <t>83.33333333333334%</t>
        </is>
      </c>
      <c r="J314" t="inlineStr">
        <is>
          <t>16.666666666666664%</t>
        </is>
      </c>
    </row>
    <row r="315">
      <c r="D315" t="inlineStr">
        <is>
          <t>Indian</t>
        </is>
      </c>
      <c r="E315" t="inlineStr">
        <is>
          <t>Transplants</t>
        </is>
      </c>
      <c r="F315" t="n">
        <v>120</v>
      </c>
      <c r="G315" t="n">
        <v>100</v>
      </c>
      <c r="H315" t="n">
        <v>20</v>
      </c>
      <c r="I315" t="inlineStr">
        <is>
          <t>83.33333333333334%</t>
        </is>
      </c>
      <c r="J315" t="inlineStr">
        <is>
          <t>16.666666666666664%</t>
        </is>
      </c>
    </row>
    <row r="316">
      <c r="D316" t="inlineStr">
        <is>
          <t>Indian</t>
        </is>
      </c>
      <c r="E316" t="inlineStr">
        <is>
          <t>Transportation</t>
        </is>
      </c>
      <c r="F316" t="n">
        <v>120</v>
      </c>
      <c r="G316" t="n">
        <v>106</v>
      </c>
      <c r="H316" t="n">
        <v>14</v>
      </c>
      <c r="I316" t="inlineStr">
        <is>
          <t>88.33333333333333%</t>
        </is>
      </c>
      <c r="J316" t="inlineStr">
        <is>
          <t>11.666666666666666%</t>
        </is>
      </c>
    </row>
    <row r="317">
      <c r="D317" t="inlineStr">
        <is>
          <t>Indian</t>
        </is>
      </c>
      <c r="E317" t="inlineStr">
        <is>
          <t>Travel</t>
        </is>
      </c>
      <c r="F317" t="n">
        <v>120</v>
      </c>
      <c r="G317" t="n">
        <v>104</v>
      </c>
      <c r="H317" t="n">
        <v>16</v>
      </c>
      <c r="I317" t="inlineStr">
        <is>
          <t>86.66666666666667%</t>
        </is>
      </c>
      <c r="J317" t="inlineStr">
        <is>
          <t>13.333333333333334%</t>
        </is>
      </c>
    </row>
    <row r="318">
      <c r="D318" t="inlineStr">
        <is>
          <t>Indian</t>
        </is>
      </c>
      <c r="E318" t="inlineStr">
        <is>
          <t>Verbal</t>
        </is>
      </c>
      <c r="F318" t="n">
        <v>120</v>
      </c>
      <c r="G318" t="n">
        <v>102</v>
      </c>
      <c r="H318" t="n">
        <v>18</v>
      </c>
      <c r="I318" t="inlineStr">
        <is>
          <t>85.0%</t>
        </is>
      </c>
      <c r="J318" t="inlineStr">
        <is>
          <t>15.0%</t>
        </is>
      </c>
    </row>
    <row r="319">
      <c r="D319" t="inlineStr">
        <is>
          <t>Indian</t>
        </is>
      </c>
      <c r="E319" t="inlineStr">
        <is>
          <t>Vision</t>
        </is>
      </c>
      <c r="F319" t="n">
        <v>120</v>
      </c>
      <c r="G319" t="n">
        <v>103</v>
      </c>
      <c r="H319" t="n">
        <v>17</v>
      </c>
      <c r="I319" t="inlineStr">
        <is>
          <t>85.83333333333333%</t>
        </is>
      </c>
      <c r="J319" t="inlineStr">
        <is>
          <t>14.166666666666666%</t>
        </is>
      </c>
    </row>
    <row r="320">
      <c r="D320" t="inlineStr">
        <is>
          <t>Indian</t>
        </is>
      </c>
      <c r="E320" t="inlineStr">
        <is>
          <t>Wellness</t>
        </is>
      </c>
      <c r="F320" t="n">
        <v>120</v>
      </c>
      <c r="G320" t="n">
        <v>104</v>
      </c>
      <c r="H320" t="n">
        <v>16</v>
      </c>
      <c r="I320" t="inlineStr">
        <is>
          <t>86.66666666666667%</t>
        </is>
      </c>
      <c r="J320" t="inlineStr">
        <is>
          <t>13.333333333333334%</t>
        </is>
      </c>
    </row>
    <row r="321">
      <c r="D321" t="inlineStr">
        <is>
          <t>Indian</t>
        </is>
      </c>
      <c r="E321" t="inlineStr">
        <is>
          <t>Womens</t>
        </is>
      </c>
      <c r="F321" t="n">
        <v>120</v>
      </c>
      <c r="G321" t="n">
        <v>100</v>
      </c>
      <c r="H321" t="n">
        <v>20</v>
      </c>
      <c r="I321" t="inlineStr">
        <is>
          <t>83.33333333333334%</t>
        </is>
      </c>
      <c r="J321" t="inlineStr">
        <is>
          <t>16.666666666666664%</t>
        </is>
      </c>
    </row>
    <row r="322">
      <c r="D322" t="inlineStr">
        <is>
          <t>Indian</t>
        </is>
      </c>
      <c r="E322" t="inlineStr">
        <is>
          <t>claims</t>
        </is>
      </c>
      <c r="F322" t="n">
        <v>606</v>
      </c>
      <c r="G322" t="n">
        <v>509</v>
      </c>
      <c r="H322" t="n">
        <v>97</v>
      </c>
      <c r="I322" t="inlineStr">
        <is>
          <t>83.993399339934%</t>
        </is>
      </c>
      <c r="J322" t="inlineStr">
        <is>
          <t>16.006600660066006%</t>
        </is>
      </c>
    </row>
    <row r="323">
      <c r="D323" t="inlineStr">
        <is>
          <t>Indian</t>
        </is>
      </c>
      <c r="E323" t="inlineStr">
        <is>
          <t>cob</t>
        </is>
      </c>
      <c r="F323" t="n">
        <v>120</v>
      </c>
      <c r="G323" t="n">
        <v>103</v>
      </c>
      <c r="H323" t="n">
        <v>17</v>
      </c>
      <c r="I323" t="inlineStr">
        <is>
          <t>85.83333333333333%</t>
        </is>
      </c>
      <c r="J323" t="inlineStr">
        <is>
          <t>14.166666666666666%</t>
        </is>
      </c>
    </row>
    <row r="324">
      <c r="D324" t="inlineStr">
        <is>
          <t>Indian</t>
        </is>
      </c>
      <c r="E324" t="inlineStr">
        <is>
          <t>contact</t>
        </is>
      </c>
      <c r="F324" t="n">
        <v>120</v>
      </c>
      <c r="G324" t="n">
        <v>100</v>
      </c>
      <c r="H324" t="n">
        <v>20</v>
      </c>
      <c r="I324" t="inlineStr">
        <is>
          <t>83.33333333333334%</t>
        </is>
      </c>
      <c r="J324" t="inlineStr">
        <is>
          <t>16.666666666666664%</t>
        </is>
      </c>
    </row>
    <row r="325">
      <c r="D325" t="inlineStr">
        <is>
          <t>Indian</t>
        </is>
      </c>
      <c r="E325" t="inlineStr">
        <is>
          <t>employeeAssistance</t>
        </is>
      </c>
      <c r="F325" t="n">
        <v>360</v>
      </c>
      <c r="G325" t="n">
        <v>307</v>
      </c>
      <c r="H325" t="n">
        <v>53</v>
      </c>
      <c r="I325" t="inlineStr">
        <is>
          <t>85.27777777777777%</t>
        </is>
      </c>
      <c r="J325" t="inlineStr">
        <is>
          <t>14.722222222222223%</t>
        </is>
      </c>
    </row>
    <row r="326">
      <c r="D326" t="inlineStr">
        <is>
          <t>Indian</t>
        </is>
      </c>
      <c r="E326" t="inlineStr">
        <is>
          <t>financialAccount</t>
        </is>
      </c>
      <c r="F326" t="n">
        <v>120</v>
      </c>
      <c r="G326" t="n">
        <v>103</v>
      </c>
      <c r="H326" t="n">
        <v>17</v>
      </c>
      <c r="I326" t="inlineStr">
        <is>
          <t>85.83333333333333%</t>
        </is>
      </c>
      <c r="J326" t="inlineStr">
        <is>
          <t>14.166666666666666%</t>
        </is>
      </c>
    </row>
    <row r="327">
      <c r="D327" t="inlineStr">
        <is>
          <t>Indian</t>
        </is>
      </c>
      <c r="E327" t="inlineStr">
        <is>
          <t>preApproval</t>
        </is>
      </c>
      <c r="F327" t="n">
        <v>360</v>
      </c>
      <c r="G327" t="n">
        <v>309</v>
      </c>
      <c r="H327" t="n">
        <v>51</v>
      </c>
      <c r="I327" t="inlineStr">
        <is>
          <t>85.83333333333333%</t>
        </is>
      </c>
      <c r="J327" t="inlineStr">
        <is>
          <t>14.166666666666666%</t>
        </is>
      </c>
    </row>
    <row r="328">
      <c r="D328" t="inlineStr">
        <is>
          <t>Indian</t>
        </is>
      </c>
      <c r="E328" t="inlineStr">
        <is>
          <t>websiteSupport</t>
        </is>
      </c>
      <c r="F328" t="n">
        <v>240</v>
      </c>
      <c r="G328" t="n">
        <v>203</v>
      </c>
      <c r="H328" t="n">
        <v>37</v>
      </c>
      <c r="I328" t="inlineStr">
        <is>
          <t>84.58333333333333%</t>
        </is>
      </c>
      <c r="J328" t="inlineStr">
        <is>
          <t>15.416666666666668%</t>
        </is>
      </c>
    </row>
    <row r="329">
      <c r="D329" s="17" t="inlineStr">
        <is>
          <t>Total</t>
        </is>
      </c>
      <c r="F329" s="17" t="n">
        <v>9642</v>
      </c>
      <c r="G329" s="17" t="n">
        <v>8193</v>
      </c>
      <c r="H329" s="17" t="n">
        <v>1449</v>
      </c>
      <c r="I329" s="17" t="inlineStr">
        <is>
          <t>84.9720%</t>
        </is>
      </c>
      <c r="J329" s="17" t="inlineStr">
        <is>
          <t>15.0280%</t>
        </is>
      </c>
    </row>
    <row r="330">
      <c r="D330" s="17" t="inlineStr">
        <is>
          <t>Total</t>
        </is>
      </c>
      <c r="E330" t="inlineStr">
        <is>
          <t>ABA</t>
        </is>
      </c>
      <c r="F330" s="17" t="n">
        <v>9642</v>
      </c>
      <c r="G330" s="17" t="n">
        <v>8193</v>
      </c>
      <c r="H330" s="17" t="n">
        <v>1449</v>
      </c>
      <c r="I330" s="17" t="inlineStr">
        <is>
          <t>84.9720%</t>
        </is>
      </c>
      <c r="J330" s="17" t="inlineStr">
        <is>
          <t>15.0280%</t>
        </is>
      </c>
    </row>
    <row r="331">
      <c r="D331" t="inlineStr">
        <is>
          <t>Spanish</t>
        </is>
      </c>
      <c r="E331" t="inlineStr">
        <is>
          <t>Address</t>
        </is>
      </c>
      <c r="F331" t="n">
        <v>120</v>
      </c>
      <c r="G331" t="n">
        <v>100</v>
      </c>
      <c r="H331" t="n">
        <v>20</v>
      </c>
      <c r="I331" t="inlineStr">
        <is>
          <t>83.33333333333334%</t>
        </is>
      </c>
      <c r="J331" t="inlineStr">
        <is>
          <t>16.666666666666664%</t>
        </is>
      </c>
    </row>
    <row r="332">
      <c r="D332" t="inlineStr">
        <is>
          <t>Spanish</t>
        </is>
      </c>
      <c r="E332" t="inlineStr">
        <is>
          <t>Agent</t>
        </is>
      </c>
      <c r="F332" t="n">
        <v>720</v>
      </c>
      <c r="G332" t="n">
        <v>607</v>
      </c>
      <c r="H332" t="n">
        <v>113</v>
      </c>
      <c r="I332" t="inlineStr">
        <is>
          <t>84.30555555555556%</t>
        </is>
      </c>
      <c r="J332" t="inlineStr">
        <is>
          <t>15.694444444444445%</t>
        </is>
      </c>
    </row>
    <row r="333">
      <c r="D333" t="inlineStr">
        <is>
          <t>Spanish</t>
        </is>
      </c>
      <c r="E333" t="inlineStr">
        <is>
          <t>Agreement</t>
        </is>
      </c>
      <c r="F333" t="n">
        <v>120</v>
      </c>
      <c r="G333" t="n">
        <v>100</v>
      </c>
      <c r="H333" t="n">
        <v>20</v>
      </c>
      <c r="I333" t="inlineStr">
        <is>
          <t>83.33333333333334%</t>
        </is>
      </c>
      <c r="J333" t="inlineStr">
        <is>
          <t>16.666666666666664%</t>
        </is>
      </c>
    </row>
    <row r="334">
      <c r="D334" t="inlineStr">
        <is>
          <t>Spanish</t>
        </is>
      </c>
      <c r="E334" t="inlineStr">
        <is>
          <t>Appointment</t>
        </is>
      </c>
      <c r="F334" t="n">
        <v>120</v>
      </c>
      <c r="G334" t="n">
        <v>106</v>
      </c>
      <c r="H334" t="n">
        <v>14</v>
      </c>
      <c r="I334" t="inlineStr">
        <is>
          <t>88.33333333333333%</t>
        </is>
      </c>
      <c r="J334" t="inlineStr">
        <is>
          <t>11.666666666666666%</t>
        </is>
      </c>
    </row>
    <row r="335">
      <c r="D335" t="inlineStr">
        <is>
          <t>Spanish</t>
        </is>
      </c>
      <c r="E335" t="inlineStr">
        <is>
          <t>Benefits</t>
        </is>
      </c>
      <c r="F335" t="n">
        <v>396</v>
      </c>
      <c r="G335" t="n">
        <v>333</v>
      </c>
      <c r="H335" t="n">
        <v>63</v>
      </c>
      <c r="I335" t="inlineStr">
        <is>
          <t>84.0909090909091%</t>
        </is>
      </c>
      <c r="J335" t="inlineStr">
        <is>
          <t>15.909090909090908%</t>
        </is>
      </c>
    </row>
    <row r="336">
      <c r="D336" t="inlineStr">
        <is>
          <t>Spanish</t>
        </is>
      </c>
      <c r="E336" t="inlineStr">
        <is>
          <t>Cancel</t>
        </is>
      </c>
      <c r="F336" t="n">
        <v>120</v>
      </c>
      <c r="G336" t="n">
        <v>102</v>
      </c>
      <c r="H336" t="n">
        <v>18</v>
      </c>
      <c r="I336" t="inlineStr">
        <is>
          <t>85.0%</t>
        </is>
      </c>
      <c r="J336" t="inlineStr">
        <is>
          <t>15.0%</t>
        </is>
      </c>
    </row>
    <row r="337">
      <c r="D337" t="inlineStr">
        <is>
          <t>Spanish</t>
        </is>
      </c>
      <c r="E337" t="inlineStr">
        <is>
          <t>Cancer</t>
        </is>
      </c>
      <c r="F337" t="n">
        <v>120</v>
      </c>
      <c r="G337" t="n">
        <v>102</v>
      </c>
      <c r="H337" t="n">
        <v>18</v>
      </c>
      <c r="I337" t="inlineStr">
        <is>
          <t>85.0%</t>
        </is>
      </c>
      <c r="J337" t="inlineStr">
        <is>
          <t>15.0%</t>
        </is>
      </c>
    </row>
    <row r="338">
      <c r="D338" t="inlineStr">
        <is>
          <t>Spanish</t>
        </is>
      </c>
      <c r="E338" t="inlineStr">
        <is>
          <t>Cards</t>
        </is>
      </c>
      <c r="F338" t="n">
        <v>120</v>
      </c>
      <c r="G338" t="n">
        <v>107</v>
      </c>
      <c r="H338" t="n">
        <v>13</v>
      </c>
      <c r="I338" t="inlineStr">
        <is>
          <t>89.16666666666667%</t>
        </is>
      </c>
      <c r="J338" t="inlineStr">
        <is>
          <t>10.833333333333334%</t>
        </is>
      </c>
    </row>
    <row r="339">
      <c r="D339" t="inlineStr">
        <is>
          <t>Spanish</t>
        </is>
      </c>
      <c r="E339" t="inlineStr">
        <is>
          <t>Clinical</t>
        </is>
      </c>
      <c r="F339" t="n">
        <v>360</v>
      </c>
      <c r="G339" t="n">
        <v>302</v>
      </c>
      <c r="H339" t="n">
        <v>58</v>
      </c>
      <c r="I339" t="inlineStr">
        <is>
          <t>83.88888888888889%</t>
        </is>
      </c>
      <c r="J339" t="inlineStr">
        <is>
          <t>16.11111111111111%</t>
        </is>
      </c>
    </row>
    <row r="340">
      <c r="D340" t="inlineStr">
        <is>
          <t>Spanish</t>
        </is>
      </c>
      <c r="E340" t="inlineStr">
        <is>
          <t>Contact</t>
        </is>
      </c>
      <c r="F340" t="n">
        <v>240</v>
      </c>
      <c r="G340" t="n">
        <v>203</v>
      </c>
      <c r="H340" t="n">
        <v>37</v>
      </c>
      <c r="I340" t="inlineStr">
        <is>
          <t>84.58333333333333%</t>
        </is>
      </c>
      <c r="J340" t="inlineStr">
        <is>
          <t>15.416666666666668%</t>
        </is>
      </c>
    </row>
    <row r="341">
      <c r="D341" t="inlineStr">
        <is>
          <t>Spanish</t>
        </is>
      </c>
      <c r="E341" t="inlineStr">
        <is>
          <t>Credentialing</t>
        </is>
      </c>
      <c r="F341" t="n">
        <v>120</v>
      </c>
      <c r="G341" t="n">
        <v>102</v>
      </c>
      <c r="H341" t="n">
        <v>18</v>
      </c>
      <c r="I341" t="inlineStr">
        <is>
          <t>85.0%</t>
        </is>
      </c>
      <c r="J341" t="inlineStr">
        <is>
          <t>15.0%</t>
        </is>
      </c>
    </row>
    <row r="342">
      <c r="D342" t="inlineStr">
        <is>
          <t>Spanish</t>
        </is>
      </c>
      <c r="E342" t="inlineStr">
        <is>
          <t>DemographicUpdate</t>
        </is>
      </c>
      <c r="F342" t="n">
        <v>120</v>
      </c>
      <c r="G342" t="n">
        <v>102</v>
      </c>
      <c r="H342" t="n">
        <v>18</v>
      </c>
      <c r="I342" t="inlineStr">
        <is>
          <t>85.0%</t>
        </is>
      </c>
      <c r="J342" t="inlineStr">
        <is>
          <t>15.0%</t>
        </is>
      </c>
    </row>
    <row r="343">
      <c r="D343" t="inlineStr">
        <is>
          <t>Spanish</t>
        </is>
      </c>
      <c r="E343" t="inlineStr">
        <is>
          <t>Dental</t>
        </is>
      </c>
      <c r="F343" t="n">
        <v>120</v>
      </c>
      <c r="G343" t="n">
        <v>104</v>
      </c>
      <c r="H343" t="n">
        <v>16</v>
      </c>
      <c r="I343" t="inlineStr">
        <is>
          <t>86.66666666666667%</t>
        </is>
      </c>
      <c r="J343" t="inlineStr">
        <is>
          <t>13.333333333333334%</t>
        </is>
      </c>
    </row>
    <row r="344">
      <c r="D344" t="inlineStr">
        <is>
          <t>Spanish</t>
        </is>
      </c>
      <c r="E344" t="inlineStr">
        <is>
          <t>DisAmBig</t>
        </is>
      </c>
      <c r="F344" t="n">
        <v>360</v>
      </c>
      <c r="G344" t="n">
        <v>302</v>
      </c>
      <c r="H344" t="n">
        <v>58</v>
      </c>
      <c r="I344" t="inlineStr">
        <is>
          <t>83.88888888888889%</t>
        </is>
      </c>
      <c r="J344" t="inlineStr">
        <is>
          <t>16.11111111111111%</t>
        </is>
      </c>
    </row>
    <row r="345">
      <c r="D345" t="inlineStr">
        <is>
          <t>Spanish</t>
        </is>
      </c>
      <c r="E345" t="inlineStr">
        <is>
          <t>Disability</t>
        </is>
      </c>
      <c r="F345" t="n">
        <v>120</v>
      </c>
      <c r="G345" t="n">
        <v>101</v>
      </c>
      <c r="H345" t="n">
        <v>19</v>
      </c>
      <c r="I345" t="inlineStr">
        <is>
          <t>84.16666666666667%</t>
        </is>
      </c>
      <c r="J345" t="inlineStr">
        <is>
          <t>15.833333333333332%</t>
        </is>
      </c>
    </row>
    <row r="346">
      <c r="D346" t="inlineStr">
        <is>
          <t>Spanish</t>
        </is>
      </c>
      <c r="E346" t="inlineStr">
        <is>
          <t>Discharge</t>
        </is>
      </c>
      <c r="F346" t="n">
        <v>120</v>
      </c>
      <c r="G346" t="n">
        <v>102</v>
      </c>
      <c r="H346" t="n">
        <v>18</v>
      </c>
      <c r="I346" t="inlineStr">
        <is>
          <t>85.0%</t>
        </is>
      </c>
      <c r="J346" t="inlineStr">
        <is>
          <t>15.0%</t>
        </is>
      </c>
    </row>
    <row r="347">
      <c r="D347" t="inlineStr">
        <is>
          <t>Spanish</t>
        </is>
      </c>
      <c r="E347" t="inlineStr">
        <is>
          <t>Doctor</t>
        </is>
      </c>
      <c r="F347" t="n">
        <v>480</v>
      </c>
      <c r="G347" t="n">
        <v>414</v>
      </c>
      <c r="H347" t="n">
        <v>66</v>
      </c>
      <c r="I347" t="inlineStr">
        <is>
          <t>86.25%</t>
        </is>
      </c>
      <c r="J347" t="inlineStr">
        <is>
          <t>13.750000000000002%</t>
        </is>
      </c>
    </row>
    <row r="348">
      <c r="D348" t="inlineStr">
        <is>
          <t>Spanish</t>
        </is>
      </c>
      <c r="E348" t="inlineStr">
        <is>
          <t>EFT</t>
        </is>
      </c>
      <c r="F348" t="n">
        <v>120</v>
      </c>
      <c r="G348" t="n">
        <v>104</v>
      </c>
      <c r="H348" t="n">
        <v>16</v>
      </c>
      <c r="I348" t="inlineStr">
        <is>
          <t>86.66666666666667%</t>
        </is>
      </c>
      <c r="J348" t="inlineStr">
        <is>
          <t>13.333333333333334%</t>
        </is>
      </c>
    </row>
    <row r="349">
      <c r="D349" t="inlineStr">
        <is>
          <t>Spanish</t>
        </is>
      </c>
      <c r="E349" t="inlineStr">
        <is>
          <t>Emergency</t>
        </is>
      </c>
      <c r="F349" t="n">
        <v>120</v>
      </c>
      <c r="G349" t="n">
        <v>103</v>
      </c>
      <c r="H349" t="n">
        <v>17</v>
      </c>
      <c r="I349" t="inlineStr">
        <is>
          <t>85.83333333333333%</t>
        </is>
      </c>
      <c r="J349" t="inlineStr">
        <is>
          <t>14.166666666666666%</t>
        </is>
      </c>
    </row>
    <row r="350">
      <c r="D350" t="inlineStr">
        <is>
          <t>Spanish</t>
        </is>
      </c>
      <c r="E350" t="inlineStr">
        <is>
          <t>Enrollment</t>
        </is>
      </c>
      <c r="F350" t="n">
        <v>120</v>
      </c>
      <c r="G350" t="n">
        <v>102</v>
      </c>
      <c r="H350" t="n">
        <v>18</v>
      </c>
      <c r="I350" t="inlineStr">
        <is>
          <t>85.0%</t>
        </is>
      </c>
      <c r="J350" t="inlineStr">
        <is>
          <t>15.0%</t>
        </is>
      </c>
    </row>
    <row r="351">
      <c r="D351" t="inlineStr">
        <is>
          <t>Spanish</t>
        </is>
      </c>
      <c r="E351" t="inlineStr">
        <is>
          <t>Extension</t>
        </is>
      </c>
      <c r="F351" t="n">
        <v>120</v>
      </c>
      <c r="G351" t="n">
        <v>100</v>
      </c>
      <c r="H351" t="n">
        <v>20</v>
      </c>
      <c r="I351" t="inlineStr">
        <is>
          <t>83.33333333333334%</t>
        </is>
      </c>
      <c r="J351" t="inlineStr">
        <is>
          <t>16.666666666666664%</t>
        </is>
      </c>
    </row>
    <row r="352">
      <c r="D352" t="inlineStr">
        <is>
          <t>Spanish</t>
        </is>
      </c>
      <c r="E352" t="inlineStr">
        <is>
          <t>Fax</t>
        </is>
      </c>
      <c r="F352" t="n">
        <v>120</v>
      </c>
      <c r="G352" t="n">
        <v>102</v>
      </c>
      <c r="H352" t="n">
        <v>18</v>
      </c>
      <c r="I352" t="inlineStr">
        <is>
          <t>85.0%</t>
        </is>
      </c>
      <c r="J352" t="inlineStr">
        <is>
          <t>15.0%</t>
        </is>
      </c>
    </row>
    <row r="353">
      <c r="D353" t="inlineStr">
        <is>
          <t>Spanish</t>
        </is>
      </c>
      <c r="E353" t="inlineStr">
        <is>
          <t>Fee</t>
        </is>
      </c>
      <c r="F353" t="n">
        <v>120</v>
      </c>
      <c r="G353" t="n">
        <v>100</v>
      </c>
      <c r="H353" t="n">
        <v>20</v>
      </c>
      <c r="I353" t="inlineStr">
        <is>
          <t>83.33333333333334%</t>
        </is>
      </c>
      <c r="J353" t="inlineStr">
        <is>
          <t>16.666666666666664%</t>
        </is>
      </c>
    </row>
    <row r="354">
      <c r="D354" t="inlineStr">
        <is>
          <t>Spanish</t>
        </is>
      </c>
      <c r="E354" t="inlineStr">
        <is>
          <t>Fraud</t>
        </is>
      </c>
      <c r="F354" t="n">
        <v>120</v>
      </c>
      <c r="G354" t="n">
        <v>105</v>
      </c>
      <c r="H354" t="n">
        <v>15</v>
      </c>
      <c r="I354" t="inlineStr">
        <is>
          <t>87.5%</t>
        </is>
      </c>
      <c r="J354" t="inlineStr">
        <is>
          <t>12.5%</t>
        </is>
      </c>
    </row>
    <row r="355">
      <c r="D355" t="inlineStr">
        <is>
          <t>Spanish</t>
        </is>
      </c>
      <c r="E355" t="inlineStr">
        <is>
          <t>LeaveOfAbsence</t>
        </is>
      </c>
      <c r="F355" t="n">
        <v>120</v>
      </c>
      <c r="G355" t="n">
        <v>102</v>
      </c>
      <c r="H355" t="n">
        <v>18</v>
      </c>
      <c r="I355" t="inlineStr">
        <is>
          <t>85.0%</t>
        </is>
      </c>
      <c r="J355" t="inlineStr">
        <is>
          <t>15.0%</t>
        </is>
      </c>
    </row>
    <row r="356">
      <c r="D356" t="inlineStr">
        <is>
          <t>Spanish</t>
        </is>
      </c>
      <c r="E356" t="inlineStr">
        <is>
          <t>LegalFinancial</t>
        </is>
      </c>
      <c r="F356" t="n">
        <v>120</v>
      </c>
      <c r="G356" t="n">
        <v>104</v>
      </c>
      <c r="H356" t="n">
        <v>16</v>
      </c>
      <c r="I356" t="inlineStr">
        <is>
          <t>86.66666666666667%</t>
        </is>
      </c>
      <c r="J356" t="inlineStr">
        <is>
          <t>13.333333333333334%</t>
        </is>
      </c>
    </row>
    <row r="357">
      <c r="D357" t="inlineStr">
        <is>
          <t>Spanish</t>
        </is>
      </c>
      <c r="E357" t="inlineStr">
        <is>
          <t>Medical</t>
        </is>
      </c>
      <c r="F357" t="n">
        <v>600</v>
      </c>
      <c r="G357" t="n">
        <v>502</v>
      </c>
      <c r="H357" t="n">
        <v>98</v>
      </c>
      <c r="I357" t="inlineStr">
        <is>
          <t>83.66666666666667%</t>
        </is>
      </c>
      <c r="J357" t="inlineStr">
        <is>
          <t>16.333333333333332%</t>
        </is>
      </c>
    </row>
    <row r="358">
      <c r="D358" t="inlineStr">
        <is>
          <t>Spanish</t>
        </is>
      </c>
      <c r="E358" t="inlineStr">
        <is>
          <t>MedicalHelp</t>
        </is>
      </c>
      <c r="F358" t="n">
        <v>120</v>
      </c>
      <c r="G358" t="n">
        <v>103</v>
      </c>
      <c r="H358" t="n">
        <v>17</v>
      </c>
      <c r="I358" t="inlineStr">
        <is>
          <t>85.83333333333333%</t>
        </is>
      </c>
      <c r="J358" t="inlineStr">
        <is>
          <t>14.166666666666666%</t>
        </is>
      </c>
    </row>
    <row r="359">
      <c r="D359" t="inlineStr">
        <is>
          <t>Spanish</t>
        </is>
      </c>
      <c r="E359" t="inlineStr">
        <is>
          <t>MemberId</t>
        </is>
      </c>
      <c r="F359" t="n">
        <v>120</v>
      </c>
      <c r="G359" t="n">
        <v>106</v>
      </c>
      <c r="H359" t="n">
        <v>14</v>
      </c>
      <c r="I359" t="inlineStr">
        <is>
          <t>88.33333333333333%</t>
        </is>
      </c>
      <c r="J359" t="inlineStr">
        <is>
          <t>11.666666666666666%</t>
        </is>
      </c>
    </row>
    <row r="360">
      <c r="D360" t="inlineStr">
        <is>
          <t>Spanish</t>
        </is>
      </c>
      <c r="E360" t="inlineStr">
        <is>
          <t>Pharmacy</t>
        </is>
      </c>
      <c r="F360" t="n">
        <v>120</v>
      </c>
      <c r="G360" t="n">
        <v>104</v>
      </c>
      <c r="H360" t="n">
        <v>16</v>
      </c>
      <c r="I360" t="inlineStr">
        <is>
          <t>86.66666666666667%</t>
        </is>
      </c>
      <c r="J360" t="inlineStr">
        <is>
          <t>13.333333333333334%</t>
        </is>
      </c>
    </row>
    <row r="361">
      <c r="D361" t="inlineStr">
        <is>
          <t>Spanish</t>
        </is>
      </c>
      <c r="E361" t="inlineStr">
        <is>
          <t>PreApproval</t>
        </is>
      </c>
      <c r="F361" t="n">
        <v>360</v>
      </c>
      <c r="G361" t="n">
        <v>304</v>
      </c>
      <c r="H361" t="n">
        <v>56</v>
      </c>
      <c r="I361" t="inlineStr">
        <is>
          <t>84.44444444444444%</t>
        </is>
      </c>
      <c r="J361" t="inlineStr">
        <is>
          <t>15.555555555555555%</t>
        </is>
      </c>
    </row>
    <row r="362">
      <c r="D362" t="inlineStr">
        <is>
          <t>Spanish</t>
        </is>
      </c>
      <c r="E362" t="inlineStr">
        <is>
          <t>Review</t>
        </is>
      </c>
      <c r="F362" t="n">
        <v>240</v>
      </c>
      <c r="G362" t="n">
        <v>210</v>
      </c>
      <c r="H362" t="n">
        <v>30</v>
      </c>
      <c r="I362" t="inlineStr">
        <is>
          <t>87.5%</t>
        </is>
      </c>
      <c r="J362" t="inlineStr">
        <is>
          <t>12.5%</t>
        </is>
      </c>
    </row>
    <row r="363">
      <c r="D363" t="inlineStr">
        <is>
          <t>Spanish</t>
        </is>
      </c>
      <c r="E363" t="inlineStr">
        <is>
          <t>Spanish</t>
        </is>
      </c>
      <c r="F363" t="n">
        <v>120</v>
      </c>
      <c r="G363" t="n">
        <v>103</v>
      </c>
      <c r="H363" t="n">
        <v>17</v>
      </c>
      <c r="I363" t="inlineStr">
        <is>
          <t>85.83333333333333%</t>
        </is>
      </c>
      <c r="J363" t="inlineStr">
        <is>
          <t>14.166666666666666%</t>
        </is>
      </c>
    </row>
    <row r="364">
      <c r="D364" t="inlineStr">
        <is>
          <t>Spanish</t>
        </is>
      </c>
      <c r="E364" t="inlineStr">
        <is>
          <t>Submission</t>
        </is>
      </c>
      <c r="F364" t="n">
        <v>120</v>
      </c>
      <c r="G364" t="n">
        <v>100</v>
      </c>
      <c r="H364" t="n">
        <v>20</v>
      </c>
      <c r="I364" t="inlineStr">
        <is>
          <t>83.33333333333334%</t>
        </is>
      </c>
      <c r="J364" t="inlineStr">
        <is>
          <t>16.666666666666664%</t>
        </is>
      </c>
    </row>
    <row r="365">
      <c r="D365" t="inlineStr">
        <is>
          <t>Spanish</t>
        </is>
      </c>
      <c r="E365" t="inlineStr">
        <is>
          <t>Transplants</t>
        </is>
      </c>
      <c r="F365" t="n">
        <v>120</v>
      </c>
      <c r="G365" t="n">
        <v>100</v>
      </c>
      <c r="H365" t="n">
        <v>20</v>
      </c>
      <c r="I365" t="inlineStr">
        <is>
          <t>83.33333333333334%</t>
        </is>
      </c>
      <c r="J365" t="inlineStr">
        <is>
          <t>16.666666666666664%</t>
        </is>
      </c>
    </row>
    <row r="366">
      <c r="D366" t="inlineStr">
        <is>
          <t>Spanish</t>
        </is>
      </c>
      <c r="E366" t="inlineStr">
        <is>
          <t>Transportation</t>
        </is>
      </c>
      <c r="F366" t="n">
        <v>120</v>
      </c>
      <c r="G366" t="n">
        <v>100</v>
      </c>
      <c r="H366" t="n">
        <v>20</v>
      </c>
      <c r="I366" t="inlineStr">
        <is>
          <t>83.33333333333334%</t>
        </is>
      </c>
      <c r="J366" t="inlineStr">
        <is>
          <t>16.666666666666664%</t>
        </is>
      </c>
    </row>
    <row r="367">
      <c r="D367" t="inlineStr">
        <is>
          <t>Spanish</t>
        </is>
      </c>
      <c r="E367" t="inlineStr">
        <is>
          <t>Travel</t>
        </is>
      </c>
      <c r="F367" t="n">
        <v>120</v>
      </c>
      <c r="G367" t="n">
        <v>101</v>
      </c>
      <c r="H367" t="n">
        <v>19</v>
      </c>
      <c r="I367" t="inlineStr">
        <is>
          <t>84.16666666666667%</t>
        </is>
      </c>
      <c r="J367" t="inlineStr">
        <is>
          <t>15.833333333333332%</t>
        </is>
      </c>
    </row>
    <row r="368">
      <c r="D368" t="inlineStr">
        <is>
          <t>Spanish</t>
        </is>
      </c>
      <c r="E368" t="inlineStr">
        <is>
          <t>Verbal</t>
        </is>
      </c>
      <c r="F368" t="n">
        <v>120</v>
      </c>
      <c r="G368" t="n">
        <v>105</v>
      </c>
      <c r="H368" t="n">
        <v>15</v>
      </c>
      <c r="I368" t="inlineStr">
        <is>
          <t>87.5%</t>
        </is>
      </c>
      <c r="J368" t="inlineStr">
        <is>
          <t>12.5%</t>
        </is>
      </c>
    </row>
    <row r="369">
      <c r="D369" t="inlineStr">
        <is>
          <t>Spanish</t>
        </is>
      </c>
      <c r="E369" t="inlineStr">
        <is>
          <t>Vision</t>
        </is>
      </c>
      <c r="F369" t="n">
        <v>120</v>
      </c>
      <c r="G369" t="n">
        <v>105</v>
      </c>
      <c r="H369" t="n">
        <v>15</v>
      </c>
      <c r="I369" t="inlineStr">
        <is>
          <t>87.5%</t>
        </is>
      </c>
      <c r="J369" t="inlineStr">
        <is>
          <t>12.5%</t>
        </is>
      </c>
    </row>
    <row r="370">
      <c r="D370" t="inlineStr">
        <is>
          <t>Spanish</t>
        </is>
      </c>
      <c r="E370" t="inlineStr">
        <is>
          <t>Wellness</t>
        </is>
      </c>
      <c r="F370" t="n">
        <v>120</v>
      </c>
      <c r="G370" t="n">
        <v>103</v>
      </c>
      <c r="H370" t="n">
        <v>17</v>
      </c>
      <c r="I370" t="inlineStr">
        <is>
          <t>85.83333333333333%</t>
        </is>
      </c>
      <c r="J370" t="inlineStr">
        <is>
          <t>14.166666666666666%</t>
        </is>
      </c>
    </row>
    <row r="371">
      <c r="D371" t="inlineStr">
        <is>
          <t>Spanish</t>
        </is>
      </c>
      <c r="E371" t="inlineStr">
        <is>
          <t>Womens</t>
        </is>
      </c>
      <c r="F371" t="n">
        <v>120</v>
      </c>
      <c r="G371" t="n">
        <v>100</v>
      </c>
      <c r="H371" t="n">
        <v>20</v>
      </c>
      <c r="I371" t="inlineStr">
        <is>
          <t>83.33333333333334%</t>
        </is>
      </c>
      <c r="J371" t="inlineStr">
        <is>
          <t>16.666666666666664%</t>
        </is>
      </c>
    </row>
    <row r="372">
      <c r="D372" t="inlineStr">
        <is>
          <t>Spanish</t>
        </is>
      </c>
      <c r="E372" t="inlineStr">
        <is>
          <t>claims</t>
        </is>
      </c>
      <c r="F372" t="n">
        <v>606</v>
      </c>
      <c r="G372" t="n">
        <v>507</v>
      </c>
      <c r="H372" t="n">
        <v>99</v>
      </c>
      <c r="I372" t="inlineStr">
        <is>
          <t>83.66336633663366%</t>
        </is>
      </c>
      <c r="J372" t="inlineStr">
        <is>
          <t>16.33663366336634%</t>
        </is>
      </c>
    </row>
    <row r="373">
      <c r="D373" t="inlineStr">
        <is>
          <t>Spanish</t>
        </is>
      </c>
      <c r="E373" t="inlineStr">
        <is>
          <t>cob</t>
        </is>
      </c>
      <c r="F373" t="n">
        <v>120</v>
      </c>
      <c r="G373" t="n">
        <v>105</v>
      </c>
      <c r="H373" t="n">
        <v>15</v>
      </c>
      <c r="I373" t="inlineStr">
        <is>
          <t>87.5%</t>
        </is>
      </c>
      <c r="J373" t="inlineStr">
        <is>
          <t>12.5%</t>
        </is>
      </c>
    </row>
    <row r="374">
      <c r="D374" t="inlineStr">
        <is>
          <t>Spanish</t>
        </is>
      </c>
      <c r="E374" t="inlineStr">
        <is>
          <t>contact</t>
        </is>
      </c>
      <c r="F374" t="n">
        <v>120</v>
      </c>
      <c r="G374" t="n">
        <v>101</v>
      </c>
      <c r="H374" t="n">
        <v>19</v>
      </c>
      <c r="I374" t="inlineStr">
        <is>
          <t>84.16666666666667%</t>
        </is>
      </c>
      <c r="J374" t="inlineStr">
        <is>
          <t>15.833333333333332%</t>
        </is>
      </c>
    </row>
    <row r="375">
      <c r="D375" t="inlineStr">
        <is>
          <t>Spanish</t>
        </is>
      </c>
      <c r="E375" t="inlineStr">
        <is>
          <t>employeeAssistance</t>
        </is>
      </c>
      <c r="F375" t="n">
        <v>360</v>
      </c>
      <c r="G375" t="n">
        <v>304</v>
      </c>
      <c r="H375" t="n">
        <v>56</v>
      </c>
      <c r="I375" t="inlineStr">
        <is>
          <t>84.44444444444444%</t>
        </is>
      </c>
      <c r="J375" t="inlineStr">
        <is>
          <t>15.555555555555555%</t>
        </is>
      </c>
    </row>
    <row r="376">
      <c r="D376" t="inlineStr">
        <is>
          <t>Spanish</t>
        </is>
      </c>
      <c r="E376" t="inlineStr">
        <is>
          <t>financialAccount</t>
        </is>
      </c>
      <c r="F376" t="n">
        <v>120</v>
      </c>
      <c r="G376" t="n">
        <v>105</v>
      </c>
      <c r="H376" t="n">
        <v>15</v>
      </c>
      <c r="I376" t="inlineStr">
        <is>
          <t>87.5%</t>
        </is>
      </c>
      <c r="J376" t="inlineStr">
        <is>
          <t>12.5%</t>
        </is>
      </c>
    </row>
    <row r="377">
      <c r="D377" t="inlineStr">
        <is>
          <t>Spanish</t>
        </is>
      </c>
      <c r="E377" t="inlineStr">
        <is>
          <t>preApproval</t>
        </is>
      </c>
      <c r="F377" t="n">
        <v>360</v>
      </c>
      <c r="G377" t="n">
        <v>316</v>
      </c>
      <c r="H377" t="n">
        <v>44</v>
      </c>
      <c r="I377" t="inlineStr">
        <is>
          <t>87.77777777777777%</t>
        </is>
      </c>
      <c r="J377" t="inlineStr">
        <is>
          <t>12.222222222222221%</t>
        </is>
      </c>
    </row>
    <row r="378">
      <c r="D378" t="inlineStr">
        <is>
          <t>Spanish</t>
        </is>
      </c>
      <c r="E378" t="inlineStr">
        <is>
          <t>websiteSupport</t>
        </is>
      </c>
      <c r="F378" t="n">
        <v>240</v>
      </c>
      <c r="G378" t="n">
        <v>209</v>
      </c>
      <c r="H378" t="n">
        <v>31</v>
      </c>
      <c r="I378" t="inlineStr">
        <is>
          <t>87.08333333333333%</t>
        </is>
      </c>
      <c r="J378" t="inlineStr">
        <is>
          <t>12.916666666666668%</t>
        </is>
      </c>
    </row>
    <row r="379">
      <c r="D379" s="17" t="inlineStr">
        <is>
          <t>Total</t>
        </is>
      </c>
      <c r="F379" s="17" t="n">
        <v>9642</v>
      </c>
      <c r="G379" s="17" t="n">
        <v>8208</v>
      </c>
      <c r="H379" s="17" t="n">
        <v>1434</v>
      </c>
      <c r="I379" s="17" t="inlineStr">
        <is>
          <t>85.1276%</t>
        </is>
      </c>
      <c r="J379" s="17" t="inlineStr">
        <is>
          <t>14.8724%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2025-10-02T09:13:34Z</dcterms:created>
  <dcterms:modified xmlns:dcterms="http://purl.org/dc/terms/" xmlns:xsi="http://www.w3.org/2001/XMLSchema-instance" xsi:type="dcterms:W3CDTF">2026-03-11T17:32:40Z</dcterms:modified>
  <cp:lastModifiedBy>Prabakar, Manoj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0x01010023310C4882054C4DABD0E95E07C93AE5</vt:lpwstr>
  </property>
  <property name="MediaServiceImageTags" fmtid="{D5CDD505-2E9C-101B-9397-08002B2CF9AE}" pid="3">
    <vt:lpwstr xmlns:vt="http://schemas.openxmlformats.org/officeDocument/2006/docPropsVTypes"/>
  </property>
</Properties>
</file>