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1B0BDFA2-2D3B-43A1-B3F3-AB12DF8A59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LU_Bias_Reference" sheetId="10" r:id="rId1"/>
    <sheet name="NLU_BIAS_TobeComputed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0" l="1"/>
  <c r="I65" i="10"/>
  <c r="G65" i="10"/>
  <c r="H65" i="10"/>
  <c r="F65" i="10"/>
  <c r="J37" i="10"/>
  <c r="I37" i="10"/>
  <c r="G37" i="10"/>
  <c r="H37" i="10"/>
  <c r="F37" i="10"/>
  <c r="H21" i="10"/>
  <c r="J21" i="10" s="1"/>
  <c r="G21" i="10"/>
  <c r="I21" i="10" s="1"/>
  <c r="F21" i="10"/>
  <c r="H15" i="10"/>
  <c r="G15" i="10"/>
  <c r="F15" i="10"/>
  <c r="M13" i="10" s="1"/>
  <c r="O13" i="10" s="1"/>
  <c r="S13" i="10"/>
  <c r="H9" i="10"/>
  <c r="M3" i="10" s="1"/>
  <c r="O3" i="10" s="1"/>
  <c r="G9" i="10"/>
  <c r="L6" i="10" s="1"/>
  <c r="N6" i="10" s="1"/>
  <c r="F9" i="10"/>
  <c r="M5" i="10" s="1"/>
  <c r="O5" i="10" s="1"/>
  <c r="S3" i="10"/>
  <c r="L13" i="10" l="1"/>
  <c r="N13" i="10" s="1"/>
  <c r="M14" i="10"/>
  <c r="O14" i="10" s="1"/>
  <c r="L5" i="10"/>
  <c r="N5" i="10" s="1"/>
  <c r="L7" i="10"/>
  <c r="N7" i="10" s="1"/>
  <c r="R13" i="10"/>
  <c r="T13" i="10" s="1"/>
  <c r="M7" i="10"/>
  <c r="O7" i="10" s="1"/>
  <c r="I9" i="10"/>
  <c r="I15" i="10"/>
  <c r="L4" i="10"/>
  <c r="N4" i="10" s="1"/>
  <c r="L8" i="10"/>
  <c r="N8" i="10" s="1"/>
  <c r="L14" i="10"/>
  <c r="N14" i="10" s="1"/>
  <c r="J15" i="10"/>
  <c r="L3" i="10"/>
  <c r="N3" i="10" s="1"/>
  <c r="M4" i="10"/>
  <c r="O4" i="10" s="1"/>
  <c r="M6" i="10"/>
  <c r="O6" i="10" s="1"/>
  <c r="M8" i="10"/>
  <c r="O8" i="10" s="1"/>
  <c r="J9" i="10"/>
  <c r="R3" i="10" l="1"/>
  <c r="T3" i="10" s="1"/>
</calcChain>
</file>

<file path=xl/sharedStrings.xml><?xml version="1.0" encoding="utf-8"?>
<sst xmlns="http://schemas.openxmlformats.org/spreadsheetml/2006/main" count="1693" uniqueCount="219">
  <si>
    <t>Expected Head Intent</t>
  </si>
  <si>
    <t>PriorAuthorizations</t>
  </si>
  <si>
    <t>ClaimsStatus</t>
  </si>
  <si>
    <t>Accent Bias</t>
  </si>
  <si>
    <t>Accent</t>
  </si>
  <si>
    <t>Gender</t>
  </si>
  <si>
    <t>Head Intent</t>
  </si>
  <si>
    <t>Total_Count</t>
  </si>
  <si>
    <t>Pass_Count</t>
  </si>
  <si>
    <t>Fail_Count</t>
  </si>
  <si>
    <t>Pass Pct</t>
  </si>
  <si>
    <t>Fail Pct</t>
  </si>
  <si>
    <t>Expected Passed</t>
  </si>
  <si>
    <t>Expected Failed</t>
  </si>
  <si>
    <t>Chi-Square Passed</t>
  </si>
  <si>
    <t>Chi-Square Failed</t>
  </si>
  <si>
    <t>X^2</t>
  </si>
  <si>
    <t>Degree Of Freedom</t>
  </si>
  <si>
    <t>p-value</t>
  </si>
  <si>
    <t>Australian</t>
  </si>
  <si>
    <t>All</t>
  </si>
  <si>
    <t>Chinese</t>
  </si>
  <si>
    <t>English</t>
  </si>
  <si>
    <t>French</t>
  </si>
  <si>
    <t>Indian</t>
  </si>
  <si>
    <t>Spanish</t>
  </si>
  <si>
    <t>Total</t>
  </si>
  <si>
    <t>Gender Bias</t>
  </si>
  <si>
    <t>Female</t>
  </si>
  <si>
    <t>Male</t>
  </si>
  <si>
    <t>Intent Level</t>
  </si>
  <si>
    <t>FEMALE</t>
  </si>
  <si>
    <t>100.0%</t>
  </si>
  <si>
    <t>0.0%</t>
  </si>
  <si>
    <t>MALE</t>
  </si>
  <si>
    <t>94.0%</t>
  </si>
  <si>
    <t>6.0%</t>
  </si>
  <si>
    <t>97.0%</t>
  </si>
  <si>
    <t>3.0%</t>
  </si>
  <si>
    <t>87.0%</t>
  </si>
  <si>
    <t>13.0%</t>
  </si>
  <si>
    <t>90.0%</t>
  </si>
  <si>
    <t>10.0%</t>
  </si>
  <si>
    <t>88.0%</t>
  </si>
  <si>
    <t>12.0%</t>
  </si>
  <si>
    <t>95.0%</t>
  </si>
  <si>
    <t>5.0%</t>
  </si>
  <si>
    <t>92.4%</t>
  </si>
  <si>
    <t>7.6%</t>
  </si>
  <si>
    <t>92.6%</t>
  </si>
  <si>
    <t>7.4%</t>
  </si>
  <si>
    <t>92.7%</t>
  </si>
  <si>
    <t>7.3%</t>
  </si>
  <si>
    <t>92.3%</t>
  </si>
  <si>
    <t>7.7%</t>
  </si>
  <si>
    <t>92.5%</t>
  </si>
  <si>
    <t>7.5%</t>
  </si>
  <si>
    <t>ABA</t>
  </si>
  <si>
    <t>85.55555555555556%</t>
  </si>
  <si>
    <t>14.444444444444443%</t>
  </si>
  <si>
    <t>Address</t>
  </si>
  <si>
    <t>83.33333333333334%</t>
  </si>
  <si>
    <t>16.666666666666664%</t>
  </si>
  <si>
    <t>Agent</t>
  </si>
  <si>
    <t>83.93518518518519%</t>
  </si>
  <si>
    <t>16.064814814814817%</t>
  </si>
  <si>
    <t>Agreement</t>
  </si>
  <si>
    <t>83.61111111111111%</t>
  </si>
  <si>
    <t>16.38888888888889%</t>
  </si>
  <si>
    <t>Appointment</t>
  </si>
  <si>
    <t>86.94444444444444%</t>
  </si>
  <si>
    <t>13.055555555555557%</t>
  </si>
  <si>
    <t>Benefits</t>
  </si>
  <si>
    <t>84.006734006734%</t>
  </si>
  <si>
    <t>15.993265993265993%</t>
  </si>
  <si>
    <t>Cancel</t>
  </si>
  <si>
    <t>84.16666666666667%</t>
  </si>
  <si>
    <t>15.833333333333332%</t>
  </si>
  <si>
    <t>Cancer</t>
  </si>
  <si>
    <t>Cards</t>
  </si>
  <si>
    <t>86.80555555555556%</t>
  </si>
  <si>
    <t>13.194444444444445%</t>
  </si>
  <si>
    <t>Clinical</t>
  </si>
  <si>
    <t>84.49074074074075%</t>
  </si>
  <si>
    <t>15.50925925925926%</t>
  </si>
  <si>
    <t>Contact</t>
  </si>
  <si>
    <t>85.69444444444444%</t>
  </si>
  <si>
    <t>14.305555555555555%</t>
  </si>
  <si>
    <t>Credentialing</t>
  </si>
  <si>
    <t>DemographicUpdate</t>
  </si>
  <si>
    <t>86.66666666666667%</t>
  </si>
  <si>
    <t>13.333333333333334%</t>
  </si>
  <si>
    <t>Dental</t>
  </si>
  <si>
    <t>85.13888888888889%</t>
  </si>
  <si>
    <t>14.86111111111111%</t>
  </si>
  <si>
    <t>DisAmBig</t>
  </si>
  <si>
    <t>84.25925925925925%</t>
  </si>
  <si>
    <t>15.74074074074074%</t>
  </si>
  <si>
    <t>Disability</t>
  </si>
  <si>
    <t>83.75%</t>
  </si>
  <si>
    <t>16.25%</t>
  </si>
  <si>
    <t>Discharge</t>
  </si>
  <si>
    <t>85.0%</t>
  </si>
  <si>
    <t>15.0%</t>
  </si>
  <si>
    <t>Doctor</t>
  </si>
  <si>
    <t>85.97222222222223%</t>
  </si>
  <si>
    <t>14.027777777777779%</t>
  </si>
  <si>
    <t>EFT</t>
  </si>
  <si>
    <t>Emergency</t>
  </si>
  <si>
    <t>Enrollment</t>
  </si>
  <si>
    <t>84.30555555555556%</t>
  </si>
  <si>
    <t>15.694444444444445%</t>
  </si>
  <si>
    <t>Extension</t>
  </si>
  <si>
    <t>Fax</t>
  </si>
  <si>
    <t>Fee</t>
  </si>
  <si>
    <t>84.02777777777779%</t>
  </si>
  <si>
    <t>15.972222222222221%</t>
  </si>
  <si>
    <t>Fraud</t>
  </si>
  <si>
    <t>86.52777777777779%</t>
  </si>
  <si>
    <t>13.472222222222221%</t>
  </si>
  <si>
    <t>LeaveOfAbsence</t>
  </si>
  <si>
    <t>84.86111111111111%</t>
  </si>
  <si>
    <t>15.138888888888888%</t>
  </si>
  <si>
    <t>LegalFinancial</t>
  </si>
  <si>
    <t>86.38888888888889%</t>
  </si>
  <si>
    <t>13.61111111111111%</t>
  </si>
  <si>
    <t>Medical</t>
  </si>
  <si>
    <t>84.27777777777777%</t>
  </si>
  <si>
    <t>15.722222222222223%</t>
  </si>
  <si>
    <t>MedicalHelp</t>
  </si>
  <si>
    <t>MemberId</t>
  </si>
  <si>
    <t>Pharmacy</t>
  </si>
  <si>
    <t>PreApproval</t>
  </si>
  <si>
    <t>84.72222222222221%</t>
  </si>
  <si>
    <t>15.277777777777779%</t>
  </si>
  <si>
    <t>Review</t>
  </si>
  <si>
    <t>86.04166666666667%</t>
  </si>
  <si>
    <t>13.958333333333334%</t>
  </si>
  <si>
    <t>Submission</t>
  </si>
  <si>
    <t>Transplants</t>
  </si>
  <si>
    <t>Transportation</t>
  </si>
  <si>
    <t>Travel</t>
  </si>
  <si>
    <t>Verbal</t>
  </si>
  <si>
    <t>Vision</t>
  </si>
  <si>
    <t>Wellness</t>
  </si>
  <si>
    <t>86.25%</t>
  </si>
  <si>
    <t>13.750000000000002%</t>
  </si>
  <si>
    <t>Womens</t>
  </si>
  <si>
    <t>claims</t>
  </si>
  <si>
    <t>83.9108910891089%</t>
  </si>
  <si>
    <t>16.08910891089109%</t>
  </si>
  <si>
    <t>cob</t>
  </si>
  <si>
    <t>contact</t>
  </si>
  <si>
    <t>employeeAssistance</t>
  </si>
  <si>
    <t>84.81481481481481%</t>
  </si>
  <si>
    <t>15.185185185185185%</t>
  </si>
  <si>
    <t>financialAccount</t>
  </si>
  <si>
    <t>preApproval</t>
  </si>
  <si>
    <t>websiteSupport</t>
  </si>
  <si>
    <t>85.41666666666666%</t>
  </si>
  <si>
    <t>14.583333333333334%</t>
  </si>
  <si>
    <t>87.5%</t>
  </si>
  <si>
    <t>12.5%</t>
  </si>
  <si>
    <t>85.83333333333333%</t>
  </si>
  <si>
    <t>14.166666666666666%</t>
  </si>
  <si>
    <t>84.0909090909091%</t>
  </si>
  <si>
    <t>15.909090909090908%</t>
  </si>
  <si>
    <t>89.16666666666667%</t>
  </si>
  <si>
    <t>10.833333333333334%</t>
  </si>
  <si>
    <t>84.0%</t>
  </si>
  <si>
    <t>16.0%</t>
  </si>
  <si>
    <t>88.33333333333333%</t>
  </si>
  <si>
    <t>11.666666666666666%</t>
  </si>
  <si>
    <t>83.82838283828383%</t>
  </si>
  <si>
    <t>16.17161716171617%</t>
  </si>
  <si>
    <t>83.88888888888889%</t>
  </si>
  <si>
    <t>16.11111111111111%</t>
  </si>
  <si>
    <t>84.44444444444444%</t>
  </si>
  <si>
    <t>15.555555555555555%</t>
  </si>
  <si>
    <t>83.16831683168317%</t>
  </si>
  <si>
    <t>16.831683168316832%</t>
  </si>
  <si>
    <t>83.58585858585859%</t>
  </si>
  <si>
    <t>16.414141414141415%</t>
  </si>
  <si>
    <t>86.45833333333334%</t>
  </si>
  <si>
    <t>13.541666666666666%</t>
  </si>
  <si>
    <t>83.83333333333334%</t>
  </si>
  <si>
    <t>16.166666666666664%</t>
  </si>
  <si>
    <t>84.15841584158416%</t>
  </si>
  <si>
    <t>15.841584158415841%</t>
  </si>
  <si>
    <t>87.22222222222223%</t>
  </si>
  <si>
    <t>12.777777777777777%</t>
  </si>
  <si>
    <t>87.08333333333333%</t>
  </si>
  <si>
    <t>12.916666666666668%</t>
  </si>
  <si>
    <t>87.91666666666667%</t>
  </si>
  <si>
    <t>12.083333333333334%</t>
  </si>
  <si>
    <t>82.77777777777777%</t>
  </si>
  <si>
    <t>17.22222222222222%</t>
  </si>
  <si>
    <t>85.20833333333333%</t>
  </si>
  <si>
    <t>14.791666666666666%</t>
  </si>
  <si>
    <t>86.16666666666667%</t>
  </si>
  <si>
    <t>13.833333333333334%</t>
  </si>
  <si>
    <t>84.65346534653465%</t>
  </si>
  <si>
    <t>15.346534653465346%</t>
  </si>
  <si>
    <t>84.84848484848484%</t>
  </si>
  <si>
    <t>15.151515151515152%</t>
  </si>
  <si>
    <t>90.83333333333333%</t>
  </si>
  <si>
    <t>9.166666666666666%</t>
  </si>
  <si>
    <t>83.993399339934%</t>
  </si>
  <si>
    <t>16.006600660066006%</t>
  </si>
  <si>
    <t>85.27777777777777%</t>
  </si>
  <si>
    <t>14.722222222222223%</t>
  </si>
  <si>
    <t>84.58333333333333%</t>
  </si>
  <si>
    <t>15.416666666666668%</t>
  </si>
  <si>
    <t>83.66666666666667%</t>
  </si>
  <si>
    <t>16.333333333333332%</t>
  </si>
  <si>
    <t>83.66336633663366%</t>
  </si>
  <si>
    <t>16.33663366336634%</t>
  </si>
  <si>
    <t>87.77777777777777%</t>
  </si>
  <si>
    <t>12.222222222222221%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</si>
</sst>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0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8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BA60-9F7C-4C35-940E-9949CC734732}">
  <dimension ref="B2:T65"/>
  <sheetViews>
    <sheetView topLeftCell="B34" zoomScale="70" zoomScaleNormal="70" workbookViewId="0">
      <selection activeCell="B12" sqref="B12"/>
    </sheetView>
  </sheetViews>
  <sheetFormatPr defaultColWidth="8.7265625" defaultRowHeight="14.5" x14ac:dyDescent="0.35"/>
  <cols>
    <col min="1" max="1" width="8.7265625" style="1"/>
    <col min="2" max="2" width="18" style="1" customWidth="1"/>
    <col min="3" max="4" width="8.7265625" style="1"/>
    <col min="5" max="5" width="19.1796875" style="1" bestFit="1" customWidth="1"/>
    <col min="6" max="16384" width="8.7265625" style="1"/>
  </cols>
  <sheetData>
    <row r="2" spans="2:20" x14ac:dyDescent="0.35"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R2" s="4" t="s">
        <v>16</v>
      </c>
      <c r="S2" s="4" t="s">
        <v>17</v>
      </c>
      <c r="T2" s="4" t="s">
        <v>18</v>
      </c>
    </row>
    <row r="3" spans="2:20" x14ac:dyDescent="0.35">
      <c r="C3" s="5" t="s">
        <v>19</v>
      </c>
      <c r="D3" s="5" t="s">
        <v>20</v>
      </c>
      <c r="E3" s="5" t="s">
        <v>20</v>
      </c>
      <c r="F3" s="5">
        <v>200</v>
      </c>
      <c r="G3" s="5">
        <v>200</v>
      </c>
      <c r="H3" s="5">
        <v>0</v>
      </c>
      <c r="I3" s="6">
        <v>1</v>
      </c>
      <c r="J3" s="6">
        <v>0</v>
      </c>
      <c r="L3" s="7">
        <f t="shared" ref="L3:L8" si="0">$G$9*F3/$F$9</f>
        <v>191.83333333333334</v>
      </c>
      <c r="M3" s="7">
        <f t="shared" ref="M3:M8" si="1">$H$9*F3/$F$9</f>
        <v>8.1666666666666661</v>
      </c>
      <c r="N3" s="7">
        <f t="shared" ref="N3:O8" si="2">IFERROR(((G3-L3)^2)/L3,0)</f>
        <v>0.34766869388937072</v>
      </c>
      <c r="O3" s="7">
        <f t="shared" si="2"/>
        <v>8.1666666666666661</v>
      </c>
      <c r="R3" s="8">
        <f>SUM(N3:O8)</f>
        <v>63.681980176953495</v>
      </c>
      <c r="S3" s="5">
        <f>(6-1)*(2-1)</f>
        <v>5</v>
      </c>
      <c r="T3" s="7">
        <f>_xlfn.CHISQ.DIST.RT(R3,S3)</f>
        <v>2.1026712968796993E-12</v>
      </c>
    </row>
    <row r="4" spans="2:20" x14ac:dyDescent="0.35">
      <c r="C4" s="5" t="s">
        <v>21</v>
      </c>
      <c r="D4" s="5" t="s">
        <v>20</v>
      </c>
      <c r="E4" s="5" t="s">
        <v>20</v>
      </c>
      <c r="F4" s="5">
        <v>200</v>
      </c>
      <c r="G4" s="5">
        <v>191</v>
      </c>
      <c r="H4" s="5">
        <v>9</v>
      </c>
      <c r="I4" s="6">
        <v>0.95499999999999996</v>
      </c>
      <c r="J4" s="6">
        <v>4.4999999999999998E-2</v>
      </c>
      <c r="L4" s="7">
        <f t="shared" si="0"/>
        <v>191.83333333333334</v>
      </c>
      <c r="M4" s="7">
        <f t="shared" si="1"/>
        <v>8.1666666666666661</v>
      </c>
      <c r="N4" s="7">
        <f t="shared" si="2"/>
        <v>3.6200405444541798E-3</v>
      </c>
      <c r="O4" s="7">
        <f t="shared" si="2"/>
        <v>8.5034013605442299E-2</v>
      </c>
    </row>
    <row r="5" spans="2:20" x14ac:dyDescent="0.35">
      <c r="C5" s="5" t="s">
        <v>22</v>
      </c>
      <c r="D5" s="5" t="s">
        <v>20</v>
      </c>
      <c r="E5" s="5" t="s">
        <v>20</v>
      </c>
      <c r="F5" s="5">
        <v>200</v>
      </c>
      <c r="G5" s="5">
        <v>200</v>
      </c>
      <c r="H5" s="5">
        <v>0</v>
      </c>
      <c r="I5" s="6">
        <v>1</v>
      </c>
      <c r="J5" s="6">
        <v>0</v>
      </c>
      <c r="L5" s="7">
        <f t="shared" si="0"/>
        <v>191.83333333333334</v>
      </c>
      <c r="M5" s="7">
        <f t="shared" si="1"/>
        <v>8.1666666666666661</v>
      </c>
      <c r="N5" s="7">
        <f t="shared" si="2"/>
        <v>0.34766869388937072</v>
      </c>
      <c r="O5" s="7">
        <f t="shared" si="2"/>
        <v>8.1666666666666661</v>
      </c>
    </row>
    <row r="6" spans="2:20" x14ac:dyDescent="0.35">
      <c r="C6" s="5" t="s">
        <v>23</v>
      </c>
      <c r="D6" s="5" t="s">
        <v>20</v>
      </c>
      <c r="E6" s="5" t="s">
        <v>20</v>
      </c>
      <c r="F6" s="5">
        <v>200</v>
      </c>
      <c r="G6" s="5">
        <v>177</v>
      </c>
      <c r="H6" s="5">
        <v>23</v>
      </c>
      <c r="I6" s="6">
        <v>0.88500000000000001</v>
      </c>
      <c r="J6" s="6">
        <v>0.115</v>
      </c>
      <c r="L6" s="7">
        <f t="shared" si="0"/>
        <v>191.83333333333334</v>
      </c>
      <c r="M6" s="7">
        <f t="shared" si="1"/>
        <v>8.1666666666666661</v>
      </c>
      <c r="N6" s="7">
        <f t="shared" si="2"/>
        <v>1.1469736461048379</v>
      </c>
      <c r="O6" s="7">
        <f t="shared" si="2"/>
        <v>26.942176870748305</v>
      </c>
    </row>
    <row r="7" spans="2:20" x14ac:dyDescent="0.35">
      <c r="C7" s="5" t="s">
        <v>24</v>
      </c>
      <c r="D7" s="5" t="s">
        <v>20</v>
      </c>
      <c r="E7" s="5" t="s">
        <v>20</v>
      </c>
      <c r="F7" s="5">
        <v>200</v>
      </c>
      <c r="G7" s="5">
        <v>200</v>
      </c>
      <c r="H7" s="5">
        <v>0</v>
      </c>
      <c r="I7" s="6">
        <v>1</v>
      </c>
      <c r="J7" s="6">
        <v>0</v>
      </c>
      <c r="L7" s="7">
        <f t="shared" si="0"/>
        <v>191.83333333333334</v>
      </c>
      <c r="M7" s="7">
        <f t="shared" si="1"/>
        <v>8.1666666666666661</v>
      </c>
      <c r="N7" s="7">
        <f t="shared" si="2"/>
        <v>0.34766869388937072</v>
      </c>
      <c r="O7" s="7">
        <f t="shared" si="2"/>
        <v>8.1666666666666661</v>
      </c>
    </row>
    <row r="8" spans="2:20" x14ac:dyDescent="0.35">
      <c r="C8" s="5" t="s">
        <v>25</v>
      </c>
      <c r="D8" s="5" t="s">
        <v>20</v>
      </c>
      <c r="E8" s="5" t="s">
        <v>20</v>
      </c>
      <c r="F8" s="5">
        <v>200</v>
      </c>
      <c r="G8" s="5">
        <v>183</v>
      </c>
      <c r="H8" s="5">
        <v>17</v>
      </c>
      <c r="I8" s="6">
        <v>0.91500000000000004</v>
      </c>
      <c r="J8" s="6">
        <v>8.5000000000000006E-2</v>
      </c>
      <c r="L8" s="7">
        <f t="shared" si="0"/>
        <v>191.83333333333334</v>
      </c>
      <c r="M8" s="7">
        <f t="shared" si="1"/>
        <v>8.1666666666666661</v>
      </c>
      <c r="N8" s="7">
        <f t="shared" si="2"/>
        <v>0.40674775557486326</v>
      </c>
      <c r="O8" s="7">
        <f t="shared" si="2"/>
        <v>9.5544217687074848</v>
      </c>
    </row>
    <row r="9" spans="2:20" x14ac:dyDescent="0.35">
      <c r="C9" s="9" t="s">
        <v>26</v>
      </c>
      <c r="D9" s="9" t="s">
        <v>20</v>
      </c>
      <c r="E9" s="9" t="s">
        <v>20</v>
      </c>
      <c r="F9" s="9">
        <f>SUM(F3:F8)</f>
        <v>1200</v>
      </c>
      <c r="G9" s="9">
        <f>SUM(G3:G8)</f>
        <v>1151</v>
      </c>
      <c r="H9" s="9">
        <f>SUM(H3:H8)</f>
        <v>49</v>
      </c>
      <c r="I9" s="10">
        <f>G9/F9</f>
        <v>0.95916666666666661</v>
      </c>
      <c r="J9" s="10">
        <f>H9/F9</f>
        <v>4.0833333333333333E-2</v>
      </c>
    </row>
    <row r="12" spans="2:20" x14ac:dyDescent="0.35">
      <c r="B12" s="2" t="s">
        <v>27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R12" s="4" t="s">
        <v>16</v>
      </c>
      <c r="S12" s="4" t="s">
        <v>17</v>
      </c>
      <c r="T12" s="4" t="s">
        <v>18</v>
      </c>
    </row>
    <row r="13" spans="2:20" x14ac:dyDescent="0.35">
      <c r="C13" s="5" t="s">
        <v>20</v>
      </c>
      <c r="D13" s="5" t="s">
        <v>28</v>
      </c>
      <c r="E13" s="5" t="s">
        <v>20</v>
      </c>
      <c r="F13" s="5">
        <v>600</v>
      </c>
      <c r="G13" s="5">
        <v>569</v>
      </c>
      <c r="H13" s="5">
        <v>31</v>
      </c>
      <c r="I13" s="6">
        <v>0.94799999999999995</v>
      </c>
      <c r="J13" s="6">
        <v>5.1999999999999998E-2</v>
      </c>
      <c r="L13" s="5">
        <f>$G$15*F13/$F$15</f>
        <v>575.5</v>
      </c>
      <c r="M13" s="5">
        <f>$H$15*F13/$F$15</f>
        <v>24.5</v>
      </c>
      <c r="N13" s="11">
        <f>IFERROR(((G13-L13)^2)/L13,0)</f>
        <v>7.3414422241529109E-2</v>
      </c>
      <c r="O13" s="11">
        <f>IFERROR(((H13-M13)^2)/M13,0)</f>
        <v>1.7244897959183674</v>
      </c>
      <c r="R13" s="8">
        <f>SUM(N13:O14)</f>
        <v>3.5958084363197931</v>
      </c>
      <c r="S13" s="5">
        <f>(2-1)*(2-1)</f>
        <v>1</v>
      </c>
      <c r="T13" s="7">
        <f>_xlfn.CHISQ.DIST.RT(R13,S13)</f>
        <v>5.7925448016158544E-2</v>
      </c>
    </row>
    <row r="14" spans="2:20" x14ac:dyDescent="0.35">
      <c r="C14" s="5" t="s">
        <v>20</v>
      </c>
      <c r="D14" s="5" t="s">
        <v>29</v>
      </c>
      <c r="E14" s="5" t="s">
        <v>20</v>
      </c>
      <c r="F14" s="5">
        <v>600</v>
      </c>
      <c r="G14" s="5">
        <v>582</v>
      </c>
      <c r="H14" s="5">
        <v>18</v>
      </c>
      <c r="I14" s="6">
        <v>0.97</v>
      </c>
      <c r="J14" s="6">
        <v>0.03</v>
      </c>
      <c r="L14" s="5">
        <f>$G$15*F14/$F$15</f>
        <v>575.5</v>
      </c>
      <c r="M14" s="5">
        <f>$H$15*F14/$F$15</f>
        <v>24.5</v>
      </c>
      <c r="N14" s="11">
        <f>IFERROR(((G14-L14)^2)/L14,0)</f>
        <v>7.3414422241529109E-2</v>
      </c>
      <c r="O14" s="11">
        <f>IFERROR(((H14-M14)^2)/M14,0)</f>
        <v>1.7244897959183674</v>
      </c>
    </row>
    <row r="15" spans="2:20" x14ac:dyDescent="0.35">
      <c r="C15" s="9" t="s">
        <v>26</v>
      </c>
      <c r="D15" s="9" t="s">
        <v>20</v>
      </c>
      <c r="E15" s="9" t="s">
        <v>20</v>
      </c>
      <c r="F15" s="9">
        <f>F14+F13</f>
        <v>1200</v>
      </c>
      <c r="G15" s="9">
        <f>G14+G13</f>
        <v>1151</v>
      </c>
      <c r="H15" s="9">
        <f>H14+H13</f>
        <v>49</v>
      </c>
      <c r="I15" s="10">
        <f>G15/F15</f>
        <v>0.95916666666666661</v>
      </c>
      <c r="J15" s="10">
        <f>H15/F15</f>
        <v>4.0833333333333333E-2</v>
      </c>
    </row>
    <row r="18" spans="2:10" x14ac:dyDescent="0.35">
      <c r="B18" s="2" t="s">
        <v>30</v>
      </c>
      <c r="C18" s="3" t="s">
        <v>4</v>
      </c>
      <c r="D18" s="3" t="s">
        <v>5</v>
      </c>
      <c r="E18" s="3" t="s">
        <v>0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</row>
    <row r="19" spans="2:10" x14ac:dyDescent="0.35">
      <c r="C19" s="5" t="s">
        <v>20</v>
      </c>
      <c r="D19" s="5" t="s">
        <v>20</v>
      </c>
      <c r="E19" s="5" t="s">
        <v>2</v>
      </c>
      <c r="F19" s="5">
        <v>600</v>
      </c>
      <c r="G19" s="5">
        <v>578</v>
      </c>
      <c r="H19" s="5">
        <v>22</v>
      </c>
      <c r="I19" s="6">
        <v>0.96299999999999997</v>
      </c>
      <c r="J19" s="6">
        <v>3.6999999999999998E-2</v>
      </c>
    </row>
    <row r="20" spans="2:10" x14ac:dyDescent="0.35">
      <c r="C20" s="5" t="s">
        <v>20</v>
      </c>
      <c r="D20" s="5" t="s">
        <v>20</v>
      </c>
      <c r="E20" s="5" t="s">
        <v>1</v>
      </c>
      <c r="F20" s="5">
        <v>600</v>
      </c>
      <c r="G20" s="5">
        <v>573</v>
      </c>
      <c r="H20" s="5">
        <v>27</v>
      </c>
      <c r="I20" s="6">
        <v>0.95499999999999996</v>
      </c>
      <c r="J20" s="6">
        <v>4.4999999999999998E-2</v>
      </c>
    </row>
    <row r="21" spans="2:10" x14ac:dyDescent="0.35">
      <c r="C21" s="9" t="s">
        <v>26</v>
      </c>
      <c r="D21" s="9" t="s">
        <v>20</v>
      </c>
      <c r="E21" s="9" t="s">
        <v>20</v>
      </c>
      <c r="F21" s="9">
        <f>SUM(F19:F20)</f>
        <v>1200</v>
      </c>
      <c r="G21" s="9">
        <f>SUM(G19:G20)</f>
        <v>1151</v>
      </c>
      <c r="H21" s="9">
        <f>SUM(H19:H20)</f>
        <v>49</v>
      </c>
      <c r="I21" s="10">
        <f>G21/F21</f>
        <v>0.95916666666666661</v>
      </c>
      <c r="J21" s="10">
        <f>H21/F21</f>
        <v>4.0833333333333333E-2</v>
      </c>
    </row>
    <row r="24" spans="2:10" x14ac:dyDescent="0.35">
      <c r="C24" s="12" t="s">
        <v>4</v>
      </c>
      <c r="D24" s="12" t="s">
        <v>5</v>
      </c>
      <c r="E24" s="3" t="s">
        <v>0</v>
      </c>
      <c r="F24" s="12" t="s">
        <v>7</v>
      </c>
      <c r="G24" s="12" t="s">
        <v>8</v>
      </c>
      <c r="H24" s="12" t="s">
        <v>9</v>
      </c>
      <c r="I24" s="12" t="s">
        <v>10</v>
      </c>
      <c r="J24" s="12" t="s">
        <v>11</v>
      </c>
    </row>
    <row r="25" spans="2:10" x14ac:dyDescent="0.35">
      <c r="C25" s="5" t="s">
        <v>19</v>
      </c>
      <c r="D25" s="5" t="s">
        <v>31</v>
      </c>
      <c r="E25" s="5" t="s">
        <v>20</v>
      </c>
      <c r="F25" s="5">
        <v>100</v>
      </c>
      <c r="G25" s="5">
        <v>100</v>
      </c>
      <c r="H25" s="5">
        <v>0</v>
      </c>
      <c r="I25" s="6" t="s">
        <v>32</v>
      </c>
      <c r="J25" s="5" t="s">
        <v>33</v>
      </c>
    </row>
    <row r="26" spans="2:10" x14ac:dyDescent="0.35">
      <c r="C26" s="5" t="s">
        <v>19</v>
      </c>
      <c r="D26" s="5" t="s">
        <v>34</v>
      </c>
      <c r="E26" s="5" t="s">
        <v>20</v>
      </c>
      <c r="F26" s="5">
        <v>100</v>
      </c>
      <c r="G26" s="5">
        <v>100</v>
      </c>
      <c r="H26" s="5">
        <v>0</v>
      </c>
      <c r="I26" s="6" t="s">
        <v>32</v>
      </c>
      <c r="J26" s="5" t="s">
        <v>33</v>
      </c>
    </row>
    <row r="27" spans="2:10" x14ac:dyDescent="0.35">
      <c r="C27" s="5" t="s">
        <v>21</v>
      </c>
      <c r="D27" s="5" t="s">
        <v>31</v>
      </c>
      <c r="E27" s="5" t="s">
        <v>20</v>
      </c>
      <c r="F27" s="5">
        <v>100</v>
      </c>
      <c r="G27" s="5">
        <v>94</v>
      </c>
      <c r="H27" s="5">
        <v>6</v>
      </c>
      <c r="I27" s="6" t="s">
        <v>35</v>
      </c>
      <c r="J27" s="5" t="s">
        <v>36</v>
      </c>
    </row>
    <row r="28" spans="2:10" x14ac:dyDescent="0.35">
      <c r="C28" s="5" t="s">
        <v>21</v>
      </c>
      <c r="D28" s="5" t="s">
        <v>34</v>
      </c>
      <c r="E28" s="5" t="s">
        <v>20</v>
      </c>
      <c r="F28" s="5">
        <v>100</v>
      </c>
      <c r="G28" s="5">
        <v>97</v>
      </c>
      <c r="H28" s="5">
        <v>3</v>
      </c>
      <c r="I28" s="6" t="s">
        <v>37</v>
      </c>
      <c r="J28" s="5" t="s">
        <v>38</v>
      </c>
    </row>
    <row r="29" spans="2:10" x14ac:dyDescent="0.35">
      <c r="C29" s="5" t="s">
        <v>22</v>
      </c>
      <c r="D29" s="5" t="s">
        <v>31</v>
      </c>
      <c r="E29" s="5" t="s">
        <v>20</v>
      </c>
      <c r="F29" s="5">
        <v>100</v>
      </c>
      <c r="G29" s="5">
        <v>100</v>
      </c>
      <c r="H29" s="5">
        <v>0</v>
      </c>
      <c r="I29" s="6" t="s">
        <v>32</v>
      </c>
      <c r="J29" s="5" t="s">
        <v>33</v>
      </c>
    </row>
    <row r="30" spans="2:10" x14ac:dyDescent="0.35">
      <c r="C30" s="5" t="s">
        <v>22</v>
      </c>
      <c r="D30" s="5" t="s">
        <v>34</v>
      </c>
      <c r="E30" s="5" t="s">
        <v>20</v>
      </c>
      <c r="F30" s="5">
        <v>100</v>
      </c>
      <c r="G30" s="5">
        <v>100</v>
      </c>
      <c r="H30" s="5">
        <v>0</v>
      </c>
      <c r="I30" s="6" t="s">
        <v>32</v>
      </c>
      <c r="J30" s="5" t="s">
        <v>33</v>
      </c>
    </row>
    <row r="31" spans="2:10" x14ac:dyDescent="0.35">
      <c r="C31" s="5" t="s">
        <v>23</v>
      </c>
      <c r="D31" s="5" t="s">
        <v>31</v>
      </c>
      <c r="E31" s="5" t="s">
        <v>20</v>
      </c>
      <c r="F31" s="5">
        <v>100</v>
      </c>
      <c r="G31" s="5">
        <v>87</v>
      </c>
      <c r="H31" s="5">
        <v>13</v>
      </c>
      <c r="I31" s="6" t="s">
        <v>39</v>
      </c>
      <c r="J31" s="5" t="s">
        <v>40</v>
      </c>
    </row>
    <row r="32" spans="2:10" x14ac:dyDescent="0.35">
      <c r="C32" s="5" t="s">
        <v>23</v>
      </c>
      <c r="D32" s="5" t="s">
        <v>34</v>
      </c>
      <c r="E32" s="5" t="s">
        <v>20</v>
      </c>
      <c r="F32" s="5">
        <v>100</v>
      </c>
      <c r="G32" s="5">
        <v>90</v>
      </c>
      <c r="H32" s="5">
        <v>10</v>
      </c>
      <c r="I32" s="6" t="s">
        <v>41</v>
      </c>
      <c r="J32" s="5" t="s">
        <v>42</v>
      </c>
    </row>
    <row r="33" spans="3:10" x14ac:dyDescent="0.35">
      <c r="C33" s="5" t="s">
        <v>24</v>
      </c>
      <c r="D33" s="5" t="s">
        <v>31</v>
      </c>
      <c r="E33" s="5" t="s">
        <v>20</v>
      </c>
      <c r="F33" s="5">
        <v>100</v>
      </c>
      <c r="G33" s="5">
        <v>100</v>
      </c>
      <c r="H33" s="5">
        <v>0</v>
      </c>
      <c r="I33" s="6" t="s">
        <v>32</v>
      </c>
      <c r="J33" s="5" t="s">
        <v>33</v>
      </c>
    </row>
    <row r="34" spans="3:10" x14ac:dyDescent="0.35">
      <c r="C34" s="5" t="s">
        <v>24</v>
      </c>
      <c r="D34" s="5" t="s">
        <v>34</v>
      </c>
      <c r="E34" s="5" t="s">
        <v>20</v>
      </c>
      <c r="F34" s="5">
        <v>100</v>
      </c>
      <c r="G34" s="5">
        <v>100</v>
      </c>
      <c r="H34" s="5">
        <v>0</v>
      </c>
      <c r="I34" s="6" t="s">
        <v>32</v>
      </c>
      <c r="J34" s="5" t="s">
        <v>33</v>
      </c>
    </row>
    <row r="35" spans="3:10" x14ac:dyDescent="0.35">
      <c r="C35" s="5" t="s">
        <v>25</v>
      </c>
      <c r="D35" s="5" t="s">
        <v>31</v>
      </c>
      <c r="E35" s="5" t="s">
        <v>20</v>
      </c>
      <c r="F35" s="5">
        <v>100</v>
      </c>
      <c r="G35" s="5">
        <v>88</v>
      </c>
      <c r="H35" s="5">
        <v>12</v>
      </c>
      <c r="I35" s="6" t="s">
        <v>43</v>
      </c>
      <c r="J35" s="5" t="s">
        <v>44</v>
      </c>
    </row>
    <row r="36" spans="3:10" x14ac:dyDescent="0.35">
      <c r="C36" s="5" t="s">
        <v>25</v>
      </c>
      <c r="D36" s="5" t="s">
        <v>34</v>
      </c>
      <c r="E36" s="5" t="s">
        <v>20</v>
      </c>
      <c r="F36" s="5">
        <v>100</v>
      </c>
      <c r="G36" s="5">
        <v>95</v>
      </c>
      <c r="H36" s="5">
        <v>5</v>
      </c>
      <c r="I36" s="6" t="s">
        <v>45</v>
      </c>
      <c r="J36" s="5" t="s">
        <v>46</v>
      </c>
    </row>
    <row r="37" spans="3:10" x14ac:dyDescent="0.35">
      <c r="C37" s="9" t="s">
        <v>26</v>
      </c>
      <c r="D37" s="9" t="s">
        <v>20</v>
      </c>
      <c r="E37" s="9" t="s">
        <v>20</v>
      </c>
      <c r="F37" s="9">
        <f>SUM(F25:F36)</f>
        <v>1200</v>
      </c>
      <c r="G37" s="9">
        <f t="shared" ref="G37:H37" si="3">SUM(G25:G36)</f>
        <v>1151</v>
      </c>
      <c r="H37" s="9">
        <f t="shared" si="3"/>
        <v>49</v>
      </c>
      <c r="I37" s="6">
        <f>G37/F37</f>
        <v>0.95916666666666661</v>
      </c>
      <c r="J37" s="10">
        <f>H37/F37</f>
        <v>4.0833333333333333E-2</v>
      </c>
    </row>
    <row r="40" spans="3:10" x14ac:dyDescent="0.35">
      <c r="C40" s="12" t="s">
        <v>4</v>
      </c>
      <c r="D40" s="12" t="s">
        <v>5</v>
      </c>
      <c r="E40" s="12" t="s">
        <v>0</v>
      </c>
      <c r="F40" s="12" t="s">
        <v>7</v>
      </c>
      <c r="G40" s="12" t="s">
        <v>8</v>
      </c>
      <c r="H40" s="12" t="s">
        <v>9</v>
      </c>
      <c r="I40" s="12" t="s">
        <v>10</v>
      </c>
      <c r="J40" s="12" t="s">
        <v>11</v>
      </c>
    </row>
    <row r="41" spans="3:10" x14ac:dyDescent="0.35">
      <c r="C41" s="5" t="s">
        <v>19</v>
      </c>
      <c r="D41" s="5" t="s">
        <v>31</v>
      </c>
      <c r="E41" s="5" t="s">
        <v>2</v>
      </c>
      <c r="F41" s="5">
        <v>50</v>
      </c>
      <c r="G41" s="5">
        <v>50</v>
      </c>
      <c r="H41" s="5">
        <v>0</v>
      </c>
      <c r="I41" s="6">
        <v>1</v>
      </c>
      <c r="J41" s="6">
        <v>0</v>
      </c>
    </row>
    <row r="42" spans="3:10" x14ac:dyDescent="0.35">
      <c r="C42" s="5" t="s">
        <v>19</v>
      </c>
      <c r="D42" s="5" t="s">
        <v>31</v>
      </c>
      <c r="E42" s="5" t="s">
        <v>1</v>
      </c>
      <c r="F42" s="5">
        <v>50</v>
      </c>
      <c r="G42" s="5">
        <v>50</v>
      </c>
      <c r="H42" s="5">
        <v>0</v>
      </c>
      <c r="I42" s="6">
        <v>1</v>
      </c>
      <c r="J42" s="6">
        <v>0</v>
      </c>
    </row>
    <row r="43" spans="3:10" x14ac:dyDescent="0.35">
      <c r="C43" s="5" t="s">
        <v>19</v>
      </c>
      <c r="D43" s="5" t="s">
        <v>34</v>
      </c>
      <c r="E43" s="5" t="s">
        <v>2</v>
      </c>
      <c r="F43" s="5">
        <v>50</v>
      </c>
      <c r="G43" s="5">
        <v>50</v>
      </c>
      <c r="H43" s="5">
        <v>0</v>
      </c>
      <c r="I43" s="6">
        <v>1</v>
      </c>
      <c r="J43" s="6">
        <v>0</v>
      </c>
    </row>
    <row r="44" spans="3:10" x14ac:dyDescent="0.35">
      <c r="C44" s="5" t="s">
        <v>19</v>
      </c>
      <c r="D44" s="5" t="s">
        <v>34</v>
      </c>
      <c r="E44" s="5" t="s">
        <v>1</v>
      </c>
      <c r="F44" s="5">
        <v>50</v>
      </c>
      <c r="G44" s="5">
        <v>50</v>
      </c>
      <c r="H44" s="5">
        <v>0</v>
      </c>
      <c r="I44" s="6">
        <v>1</v>
      </c>
      <c r="J44" s="6">
        <v>0</v>
      </c>
    </row>
    <row r="45" spans="3:10" x14ac:dyDescent="0.35">
      <c r="C45" s="5" t="s">
        <v>21</v>
      </c>
      <c r="D45" s="5" t="s">
        <v>31</v>
      </c>
      <c r="E45" s="5" t="s">
        <v>2</v>
      </c>
      <c r="F45" s="5">
        <v>50</v>
      </c>
      <c r="G45" s="5">
        <v>47</v>
      </c>
      <c r="H45" s="5">
        <v>3</v>
      </c>
      <c r="I45" s="6">
        <v>0.94</v>
      </c>
      <c r="J45" s="6">
        <v>0.06</v>
      </c>
    </row>
    <row r="46" spans="3:10" x14ac:dyDescent="0.35">
      <c r="C46" s="5" t="s">
        <v>21</v>
      </c>
      <c r="D46" s="5" t="s">
        <v>31</v>
      </c>
      <c r="E46" s="5" t="s">
        <v>1</v>
      </c>
      <c r="F46" s="5">
        <v>50</v>
      </c>
      <c r="G46" s="5">
        <v>47</v>
      </c>
      <c r="H46" s="5">
        <v>3</v>
      </c>
      <c r="I46" s="6">
        <v>0.94</v>
      </c>
      <c r="J46" s="6">
        <v>0.06</v>
      </c>
    </row>
    <row r="47" spans="3:10" x14ac:dyDescent="0.35">
      <c r="C47" s="5" t="s">
        <v>21</v>
      </c>
      <c r="D47" s="5" t="s">
        <v>34</v>
      </c>
      <c r="E47" s="5" t="s">
        <v>2</v>
      </c>
      <c r="F47" s="5">
        <v>50</v>
      </c>
      <c r="G47" s="5">
        <v>50</v>
      </c>
      <c r="H47" s="5">
        <v>0</v>
      </c>
      <c r="I47" s="6">
        <v>1</v>
      </c>
      <c r="J47" s="6">
        <v>0</v>
      </c>
    </row>
    <row r="48" spans="3:10" x14ac:dyDescent="0.35">
      <c r="C48" s="5" t="s">
        <v>21</v>
      </c>
      <c r="D48" s="5" t="s">
        <v>34</v>
      </c>
      <c r="E48" s="5" t="s">
        <v>1</v>
      </c>
      <c r="F48" s="5">
        <v>50</v>
      </c>
      <c r="G48" s="5">
        <v>47</v>
      </c>
      <c r="H48" s="5">
        <v>3</v>
      </c>
      <c r="I48" s="6">
        <v>0.94</v>
      </c>
      <c r="J48" s="6">
        <v>0.06</v>
      </c>
    </row>
    <row r="49" spans="3:10" x14ac:dyDescent="0.35">
      <c r="C49" s="5" t="s">
        <v>22</v>
      </c>
      <c r="D49" s="5" t="s">
        <v>31</v>
      </c>
      <c r="E49" s="5" t="s">
        <v>2</v>
      </c>
      <c r="F49" s="5">
        <v>50</v>
      </c>
      <c r="G49" s="5">
        <v>50</v>
      </c>
      <c r="H49" s="5">
        <v>0</v>
      </c>
      <c r="I49" s="6">
        <v>1</v>
      </c>
      <c r="J49" s="6">
        <v>0</v>
      </c>
    </row>
    <row r="50" spans="3:10" x14ac:dyDescent="0.35">
      <c r="C50" s="5" t="s">
        <v>22</v>
      </c>
      <c r="D50" s="5" t="s">
        <v>31</v>
      </c>
      <c r="E50" s="5" t="s">
        <v>1</v>
      </c>
      <c r="F50" s="5">
        <v>50</v>
      </c>
      <c r="G50" s="5">
        <v>50</v>
      </c>
      <c r="H50" s="5">
        <v>0</v>
      </c>
      <c r="I50" s="6">
        <v>1</v>
      </c>
      <c r="J50" s="6">
        <v>0</v>
      </c>
    </row>
    <row r="51" spans="3:10" x14ac:dyDescent="0.35">
      <c r="C51" s="5" t="s">
        <v>22</v>
      </c>
      <c r="D51" s="5" t="s">
        <v>34</v>
      </c>
      <c r="E51" s="5" t="s">
        <v>2</v>
      </c>
      <c r="F51" s="5">
        <v>50</v>
      </c>
      <c r="G51" s="5">
        <v>50</v>
      </c>
      <c r="H51" s="5">
        <v>0</v>
      </c>
      <c r="I51" s="6">
        <v>1</v>
      </c>
      <c r="J51" s="6">
        <v>0</v>
      </c>
    </row>
    <row r="52" spans="3:10" x14ac:dyDescent="0.35">
      <c r="C52" s="5" t="s">
        <v>22</v>
      </c>
      <c r="D52" s="5" t="s">
        <v>34</v>
      </c>
      <c r="E52" s="5" t="s">
        <v>1</v>
      </c>
      <c r="F52" s="5">
        <v>50</v>
      </c>
      <c r="G52" s="5">
        <v>50</v>
      </c>
      <c r="H52" s="5">
        <v>0</v>
      </c>
      <c r="I52" s="6">
        <v>1</v>
      </c>
      <c r="J52" s="6">
        <v>0</v>
      </c>
    </row>
    <row r="53" spans="3:10" x14ac:dyDescent="0.35">
      <c r="C53" s="5" t="s">
        <v>23</v>
      </c>
      <c r="D53" s="5" t="s">
        <v>31</v>
      </c>
      <c r="E53" s="5" t="s">
        <v>2</v>
      </c>
      <c r="F53" s="5">
        <v>50</v>
      </c>
      <c r="G53" s="5">
        <v>48</v>
      </c>
      <c r="H53" s="5">
        <v>2</v>
      </c>
      <c r="I53" s="6">
        <v>0.96</v>
      </c>
      <c r="J53" s="6">
        <v>0.04</v>
      </c>
    </row>
    <row r="54" spans="3:10" x14ac:dyDescent="0.35">
      <c r="C54" s="5" t="s">
        <v>23</v>
      </c>
      <c r="D54" s="5" t="s">
        <v>31</v>
      </c>
      <c r="E54" s="5" t="s">
        <v>1</v>
      </c>
      <c r="F54" s="5">
        <v>50</v>
      </c>
      <c r="G54" s="5">
        <v>39</v>
      </c>
      <c r="H54" s="5">
        <v>11</v>
      </c>
      <c r="I54" s="6">
        <v>0.78</v>
      </c>
      <c r="J54" s="6">
        <v>0.22</v>
      </c>
    </row>
    <row r="55" spans="3:10" x14ac:dyDescent="0.35">
      <c r="C55" s="5" t="s">
        <v>23</v>
      </c>
      <c r="D55" s="5" t="s">
        <v>34</v>
      </c>
      <c r="E55" s="5" t="s">
        <v>2</v>
      </c>
      <c r="F55" s="5">
        <v>50</v>
      </c>
      <c r="G55" s="5">
        <v>46</v>
      </c>
      <c r="H55" s="5">
        <v>4</v>
      </c>
      <c r="I55" s="6">
        <v>0.92</v>
      </c>
      <c r="J55" s="6">
        <v>0.08</v>
      </c>
    </row>
    <row r="56" spans="3:10" x14ac:dyDescent="0.35">
      <c r="C56" s="5" t="s">
        <v>23</v>
      </c>
      <c r="D56" s="5" t="s">
        <v>34</v>
      </c>
      <c r="E56" s="5" t="s">
        <v>1</v>
      </c>
      <c r="F56" s="5">
        <v>50</v>
      </c>
      <c r="G56" s="5">
        <v>44</v>
      </c>
      <c r="H56" s="5">
        <v>6</v>
      </c>
      <c r="I56" s="6">
        <v>0.88</v>
      </c>
      <c r="J56" s="6">
        <v>0.12</v>
      </c>
    </row>
    <row r="57" spans="3:10" x14ac:dyDescent="0.35">
      <c r="C57" s="5" t="s">
        <v>24</v>
      </c>
      <c r="D57" s="5" t="s">
        <v>31</v>
      </c>
      <c r="E57" s="5" t="s">
        <v>2</v>
      </c>
      <c r="F57" s="5">
        <v>50</v>
      </c>
      <c r="G57" s="5">
        <v>50</v>
      </c>
      <c r="H57" s="5">
        <v>0</v>
      </c>
      <c r="I57" s="6">
        <v>1</v>
      </c>
      <c r="J57" s="6">
        <v>0</v>
      </c>
    </row>
    <row r="58" spans="3:10" x14ac:dyDescent="0.35">
      <c r="C58" s="5" t="s">
        <v>24</v>
      </c>
      <c r="D58" s="5" t="s">
        <v>31</v>
      </c>
      <c r="E58" s="5" t="s">
        <v>1</v>
      </c>
      <c r="F58" s="5">
        <v>50</v>
      </c>
      <c r="G58" s="5">
        <v>50</v>
      </c>
      <c r="H58" s="5">
        <v>0</v>
      </c>
      <c r="I58" s="6">
        <v>1</v>
      </c>
      <c r="J58" s="6">
        <v>0</v>
      </c>
    </row>
    <row r="59" spans="3:10" x14ac:dyDescent="0.35">
      <c r="C59" s="5" t="s">
        <v>24</v>
      </c>
      <c r="D59" s="5" t="s">
        <v>34</v>
      </c>
      <c r="E59" s="5" t="s">
        <v>2</v>
      </c>
      <c r="F59" s="5">
        <v>50</v>
      </c>
      <c r="G59" s="5">
        <v>50</v>
      </c>
      <c r="H59" s="5">
        <v>0</v>
      </c>
      <c r="I59" s="6">
        <v>1</v>
      </c>
      <c r="J59" s="6">
        <v>0</v>
      </c>
    </row>
    <row r="60" spans="3:10" x14ac:dyDescent="0.35">
      <c r="C60" s="5" t="s">
        <v>24</v>
      </c>
      <c r="D60" s="5" t="s">
        <v>34</v>
      </c>
      <c r="E60" s="5" t="s">
        <v>1</v>
      </c>
      <c r="F60" s="5">
        <v>50</v>
      </c>
      <c r="G60" s="5">
        <v>50</v>
      </c>
      <c r="H60" s="5">
        <v>0</v>
      </c>
      <c r="I60" s="6">
        <v>1</v>
      </c>
      <c r="J60" s="6">
        <v>0</v>
      </c>
    </row>
    <row r="61" spans="3:10" x14ac:dyDescent="0.35">
      <c r="C61" s="5" t="s">
        <v>25</v>
      </c>
      <c r="D61" s="5" t="s">
        <v>31</v>
      </c>
      <c r="E61" s="5" t="s">
        <v>2</v>
      </c>
      <c r="F61" s="5">
        <v>50</v>
      </c>
      <c r="G61" s="5">
        <v>40</v>
      </c>
      <c r="H61" s="5">
        <v>10</v>
      </c>
      <c r="I61" s="6">
        <v>0.8</v>
      </c>
      <c r="J61" s="6">
        <v>0.2</v>
      </c>
    </row>
    <row r="62" spans="3:10" x14ac:dyDescent="0.35">
      <c r="C62" s="5" t="s">
        <v>25</v>
      </c>
      <c r="D62" s="5" t="s">
        <v>31</v>
      </c>
      <c r="E62" s="5" t="s">
        <v>1</v>
      </c>
      <c r="F62" s="5">
        <v>50</v>
      </c>
      <c r="G62" s="5">
        <v>48</v>
      </c>
      <c r="H62" s="5">
        <v>2</v>
      </c>
      <c r="I62" s="6">
        <v>0.96</v>
      </c>
      <c r="J62" s="6">
        <v>0.04</v>
      </c>
    </row>
    <row r="63" spans="3:10" x14ac:dyDescent="0.35">
      <c r="C63" s="5" t="s">
        <v>25</v>
      </c>
      <c r="D63" s="5" t="s">
        <v>34</v>
      </c>
      <c r="E63" s="5" t="s">
        <v>2</v>
      </c>
      <c r="F63" s="5">
        <v>50</v>
      </c>
      <c r="G63" s="5">
        <v>47</v>
      </c>
      <c r="H63" s="5">
        <v>3</v>
      </c>
      <c r="I63" s="6">
        <v>0.94</v>
      </c>
      <c r="J63" s="6">
        <v>0.06</v>
      </c>
    </row>
    <row r="64" spans="3:10" x14ac:dyDescent="0.35">
      <c r="C64" s="5" t="s">
        <v>25</v>
      </c>
      <c r="D64" s="5" t="s">
        <v>34</v>
      </c>
      <c r="E64" s="5" t="s">
        <v>1</v>
      </c>
      <c r="F64" s="5">
        <v>50</v>
      </c>
      <c r="G64" s="5">
        <v>48</v>
      </c>
      <c r="H64" s="5">
        <v>2</v>
      </c>
      <c r="I64" s="6">
        <v>0.96</v>
      </c>
      <c r="J64" s="6">
        <v>0.04</v>
      </c>
    </row>
    <row r="65" spans="3:10" x14ac:dyDescent="0.35">
      <c r="C65" s="9" t="s">
        <v>26</v>
      </c>
      <c r="D65" s="9" t="s">
        <v>20</v>
      </c>
      <c r="E65" s="9" t="s">
        <v>20</v>
      </c>
      <c r="F65" s="9">
        <f>SUM(F41:F64)</f>
        <v>1200</v>
      </c>
      <c r="G65" s="9">
        <f t="shared" ref="G65:H65" si="4">SUM(G41:G64)</f>
        <v>1151</v>
      </c>
      <c r="H65" s="9">
        <f t="shared" si="4"/>
        <v>49</v>
      </c>
      <c r="I65" s="6">
        <f>G65/F65</f>
        <v>0.95916666666666661</v>
      </c>
      <c r="J65" s="10">
        <f>H65/F65</f>
        <v>4.0833333333333333E-2</v>
      </c>
    </row>
  </sheetData>
  <conditionalFormatting sqref="I3:I9 I19:I21">
    <cfRule type="cellIs" dxfId="7" priority="11" operator="lessThan">
      <formula>0.8</formula>
    </cfRule>
    <cfRule type="cellIs" dxfId="6" priority="12" operator="greaterThanOrEqual">
      <formula>0.8</formula>
    </cfRule>
  </conditionalFormatting>
  <conditionalFormatting sqref="I13:I15">
    <cfRule type="cellIs" dxfId="5" priority="9" operator="lessThan">
      <formula>0.8</formula>
    </cfRule>
    <cfRule type="cellIs" dxfId="4" priority="10" operator="greaterThanOrEqual">
      <formula>0.8</formula>
    </cfRule>
  </conditionalFormatting>
  <conditionalFormatting sqref="I25:I37">
    <cfRule type="cellIs" dxfId="3" priority="1" operator="lessThan">
      <formula>0.8</formula>
    </cfRule>
    <cfRule type="cellIs" dxfId="2" priority="2" operator="greaterThanOrEqual">
      <formula>0.8</formula>
    </cfRule>
  </conditionalFormatting>
  <conditionalFormatting sqref="I41:I65">
    <cfRule type="cellIs" dxfId="1" priority="3" operator="lessThan">
      <formula>0.8</formula>
    </cfRule>
    <cfRule type="cellIs" dxfId="0" priority="4" operator="greaterThanOrEqual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68AC-75EB-4F5A-8FE2-F957CECEB52E}">
  <dimension ref="C3:K373"/>
  <sheetViews>
    <sheetView tabSelected="1" workbookViewId="0">
      <selection activeCell="C9" sqref="C9"/>
    </sheetView>
  </sheetViews>
  <sheetFormatPr defaultRowHeight="14.5" x14ac:dyDescent="0.35"/>
  <sheetData>
    <row r="3" spans="3:10" x14ac:dyDescent="0.35">
      <c r="C3" s="2" t="s">
        <v>3</v>
      </c>
      <c r="D3" s="13" t="s">
        <v>4</v>
      </c>
      <c r="E3" s="13" t="s">
        <v>5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</row>
    <row r="4" spans="3:10" x14ac:dyDescent="0.35">
      <c r="C4" s="1"/>
      <c r="D4" t="s">
        <v>19</v>
      </c>
      <c r="E4" t="s">
        <v>31</v>
      </c>
      <c r="F4">
        <v>9642</v>
      </c>
      <c r="G4">
        <v>8912</v>
      </c>
      <c r="H4">
        <v>730</v>
      </c>
      <c r="I4" t="s">
        <v>47</v>
      </c>
      <c r="J4" t="s">
        <v>48</v>
      </c>
    </row>
    <row r="5" spans="3:10" x14ac:dyDescent="0.35">
      <c r="D5" t="s">
        <v>19</v>
      </c>
      <c r="E5" t="s">
        <v>34</v>
      </c>
      <c r="F5">
        <v>9642</v>
      </c>
      <c r="G5">
        <v>8924</v>
      </c>
      <c r="H5">
        <v>718</v>
      </c>
      <c r="I5" t="s">
        <v>49</v>
      </c>
      <c r="J5" t="s">
        <v>50</v>
      </c>
    </row>
    <row r="6" spans="3:10" x14ac:dyDescent="0.35">
      <c r="D6" t="s">
        <v>21</v>
      </c>
      <c r="E6" t="s">
        <v>31</v>
      </c>
      <c r="F6">
        <v>9642</v>
      </c>
      <c r="G6">
        <v>8907</v>
      </c>
      <c r="H6">
        <v>735</v>
      </c>
      <c r="I6" t="s">
        <v>47</v>
      </c>
      <c r="J6" t="s">
        <v>48</v>
      </c>
    </row>
    <row r="7" spans="3:10" x14ac:dyDescent="0.35">
      <c r="D7" t="s">
        <v>21</v>
      </c>
      <c r="E7" t="s">
        <v>34</v>
      </c>
      <c r="F7">
        <v>9642</v>
      </c>
      <c r="G7">
        <v>8931</v>
      </c>
      <c r="H7">
        <v>711</v>
      </c>
      <c r="I7" t="s">
        <v>49</v>
      </c>
      <c r="J7" t="s">
        <v>50</v>
      </c>
    </row>
    <row r="8" spans="3:10" x14ac:dyDescent="0.35">
      <c r="D8" t="s">
        <v>22</v>
      </c>
      <c r="E8" t="s">
        <v>31</v>
      </c>
      <c r="F8">
        <v>9642</v>
      </c>
      <c r="G8">
        <v>8940</v>
      </c>
      <c r="H8">
        <v>702</v>
      </c>
      <c r="I8" t="s">
        <v>51</v>
      </c>
      <c r="J8" t="s">
        <v>52</v>
      </c>
    </row>
    <row r="9" spans="3:10" x14ac:dyDescent="0.35">
      <c r="D9" t="s">
        <v>22</v>
      </c>
      <c r="E9" t="s">
        <v>34</v>
      </c>
      <c r="F9">
        <v>9642</v>
      </c>
      <c r="G9">
        <v>8901</v>
      </c>
      <c r="H9">
        <v>741</v>
      </c>
      <c r="I9" t="s">
        <v>53</v>
      </c>
      <c r="J9" t="s">
        <v>54</v>
      </c>
    </row>
    <row r="10" spans="3:10" x14ac:dyDescent="0.35">
      <c r="D10" t="s">
        <v>23</v>
      </c>
      <c r="E10" t="s">
        <v>31</v>
      </c>
      <c r="F10">
        <v>9642</v>
      </c>
      <c r="G10">
        <v>8926</v>
      </c>
      <c r="H10">
        <v>716</v>
      </c>
      <c r="I10" t="s">
        <v>49</v>
      </c>
      <c r="J10" t="s">
        <v>50</v>
      </c>
    </row>
    <row r="11" spans="3:10" x14ac:dyDescent="0.35">
      <c r="D11" t="s">
        <v>23</v>
      </c>
      <c r="E11" t="s">
        <v>34</v>
      </c>
      <c r="F11">
        <v>9642</v>
      </c>
      <c r="G11">
        <v>8926</v>
      </c>
      <c r="H11">
        <v>716</v>
      </c>
      <c r="I11" t="s">
        <v>49</v>
      </c>
      <c r="J11" t="s">
        <v>50</v>
      </c>
    </row>
    <row r="12" spans="3:10" x14ac:dyDescent="0.35">
      <c r="D12" t="s">
        <v>24</v>
      </c>
      <c r="E12" t="s">
        <v>31</v>
      </c>
      <c r="F12">
        <v>9642</v>
      </c>
      <c r="G12">
        <v>8917</v>
      </c>
      <c r="H12">
        <v>725</v>
      </c>
      <c r="I12" t="s">
        <v>55</v>
      </c>
      <c r="J12" t="s">
        <v>56</v>
      </c>
    </row>
    <row r="13" spans="3:10" x14ac:dyDescent="0.35">
      <c r="D13" t="s">
        <v>24</v>
      </c>
      <c r="E13" t="s">
        <v>34</v>
      </c>
      <c r="F13">
        <v>9642</v>
      </c>
      <c r="G13">
        <v>8918</v>
      </c>
      <c r="H13">
        <v>724</v>
      </c>
      <c r="I13" t="s">
        <v>55</v>
      </c>
      <c r="J13" t="s">
        <v>56</v>
      </c>
    </row>
    <row r="14" spans="3:10" x14ac:dyDescent="0.35">
      <c r="D14" t="s">
        <v>25</v>
      </c>
      <c r="E14" t="s">
        <v>31</v>
      </c>
      <c r="F14">
        <v>9642</v>
      </c>
      <c r="G14">
        <v>8926</v>
      </c>
      <c r="H14">
        <v>716</v>
      </c>
      <c r="I14" t="s">
        <v>49</v>
      </c>
      <c r="J14" t="s">
        <v>50</v>
      </c>
    </row>
    <row r="15" spans="3:10" x14ac:dyDescent="0.35">
      <c r="D15" t="s">
        <v>25</v>
      </c>
      <c r="E15" t="s">
        <v>34</v>
      </c>
      <c r="F15">
        <v>9642</v>
      </c>
      <c r="G15">
        <v>8924</v>
      </c>
      <c r="H15">
        <v>718</v>
      </c>
      <c r="I15" t="s">
        <v>49</v>
      </c>
      <c r="J15" t="s">
        <v>50</v>
      </c>
    </row>
    <row r="20" spans="3:11" x14ac:dyDescent="0.35">
      <c r="C20" s="2" t="s">
        <v>27</v>
      </c>
      <c r="D20" s="3" t="s">
        <v>4</v>
      </c>
      <c r="E20" s="13" t="s">
        <v>5</v>
      </c>
      <c r="F20" s="13" t="s">
        <v>7</v>
      </c>
      <c r="G20" s="13" t="s">
        <v>8</v>
      </c>
      <c r="H20" s="13" t="s">
        <v>9</v>
      </c>
      <c r="I20" s="13" t="s">
        <v>10</v>
      </c>
      <c r="J20" s="13" t="s">
        <v>11</v>
      </c>
    </row>
    <row r="21" spans="3:11" x14ac:dyDescent="0.35">
      <c r="D21" s="5" t="s">
        <v>20</v>
      </c>
      <c r="E21" t="s">
        <v>31</v>
      </c>
      <c r="F21">
        <v>57852</v>
      </c>
      <c r="G21">
        <v>52198</v>
      </c>
      <c r="H21">
        <v>4317</v>
      </c>
      <c r="I21" s="14">
        <v>0.9022</v>
      </c>
      <c r="J21" s="14">
        <v>9.7799999999999998E-2</v>
      </c>
    </row>
    <row r="22" spans="3:11" x14ac:dyDescent="0.35">
      <c r="D22" s="5" t="s">
        <v>20</v>
      </c>
      <c r="E22" t="s">
        <v>34</v>
      </c>
      <c r="F22">
        <v>57852</v>
      </c>
      <c r="G22">
        <v>53524</v>
      </c>
      <c r="H22">
        <v>4328</v>
      </c>
      <c r="I22" t="s">
        <v>55</v>
      </c>
      <c r="J22" t="s">
        <v>56</v>
      </c>
    </row>
    <row r="23" spans="3:11" x14ac:dyDescent="0.35">
      <c r="D23" s="9" t="s">
        <v>26</v>
      </c>
    </row>
    <row r="26" spans="3:11" x14ac:dyDescent="0.35">
      <c r="C26" s="2" t="s">
        <v>30</v>
      </c>
      <c r="D26" s="3" t="s">
        <v>4</v>
      </c>
      <c r="E26" s="13" t="s">
        <v>0</v>
      </c>
      <c r="F26" s="13" t="s">
        <v>7</v>
      </c>
      <c r="G26" s="13" t="s">
        <v>8</v>
      </c>
      <c r="H26" s="13" t="s">
        <v>9</v>
      </c>
      <c r="I26" s="13" t="s">
        <v>10</v>
      </c>
      <c r="J26" s="13" t="s">
        <v>11</v>
      </c>
      <c r="K26" s="3"/>
    </row>
    <row r="27" spans="3:11" x14ac:dyDescent="0.35">
      <c r="D27" s="5" t="s">
        <v>20</v>
      </c>
      <c r="E27" t="s">
        <v>57</v>
      </c>
      <c r="F27">
        <v>720</v>
      </c>
      <c r="G27">
        <v>616</v>
      </c>
      <c r="H27">
        <v>104</v>
      </c>
      <c r="I27" t="s">
        <v>58</v>
      </c>
      <c r="J27" t="s">
        <v>59</v>
      </c>
      <c r="K27" s="6"/>
    </row>
    <row r="28" spans="3:11" x14ac:dyDescent="0.35">
      <c r="D28" s="5" t="s">
        <v>20</v>
      </c>
      <c r="E28" t="s">
        <v>60</v>
      </c>
      <c r="F28">
        <v>720</v>
      </c>
      <c r="G28">
        <v>600</v>
      </c>
      <c r="H28">
        <v>120</v>
      </c>
      <c r="I28" t="s">
        <v>61</v>
      </c>
      <c r="J28" t="s">
        <v>62</v>
      </c>
      <c r="K28" s="6"/>
    </row>
    <row r="29" spans="3:11" x14ac:dyDescent="0.35">
      <c r="D29" s="5" t="s">
        <v>20</v>
      </c>
      <c r="E29" t="s">
        <v>63</v>
      </c>
      <c r="F29">
        <v>4320</v>
      </c>
      <c r="G29">
        <v>3626</v>
      </c>
      <c r="H29">
        <v>694</v>
      </c>
      <c r="I29" t="s">
        <v>64</v>
      </c>
      <c r="J29" t="s">
        <v>65</v>
      </c>
      <c r="K29" s="10"/>
    </row>
    <row r="30" spans="3:11" x14ac:dyDescent="0.35">
      <c r="D30" s="5" t="s">
        <v>20</v>
      </c>
      <c r="E30" t="s">
        <v>66</v>
      </c>
      <c r="F30">
        <v>720</v>
      </c>
      <c r="G30">
        <v>602</v>
      </c>
      <c r="H30">
        <v>118</v>
      </c>
      <c r="I30" t="s">
        <v>67</v>
      </c>
      <c r="J30" t="s">
        <v>68</v>
      </c>
    </row>
    <row r="31" spans="3:11" x14ac:dyDescent="0.35">
      <c r="D31" s="5" t="s">
        <v>20</v>
      </c>
      <c r="E31" t="s">
        <v>69</v>
      </c>
      <c r="F31">
        <v>720</v>
      </c>
      <c r="G31">
        <v>626</v>
      </c>
      <c r="H31">
        <v>94</v>
      </c>
      <c r="I31" t="s">
        <v>70</v>
      </c>
      <c r="J31" t="s">
        <v>71</v>
      </c>
    </row>
    <row r="32" spans="3:11" x14ac:dyDescent="0.35">
      <c r="D32" s="5" t="s">
        <v>20</v>
      </c>
      <c r="E32" t="s">
        <v>72</v>
      </c>
      <c r="F32">
        <v>2376</v>
      </c>
      <c r="G32">
        <v>1996</v>
      </c>
      <c r="H32">
        <v>380</v>
      </c>
      <c r="I32" t="s">
        <v>73</v>
      </c>
      <c r="J32" t="s">
        <v>74</v>
      </c>
    </row>
    <row r="33" spans="4:10" x14ac:dyDescent="0.35">
      <c r="D33" s="5" t="s">
        <v>20</v>
      </c>
      <c r="E33" t="s">
        <v>75</v>
      </c>
      <c r="F33">
        <v>720</v>
      </c>
      <c r="G33">
        <v>606</v>
      </c>
      <c r="H33">
        <v>114</v>
      </c>
      <c r="I33" t="s">
        <v>76</v>
      </c>
      <c r="J33" t="s">
        <v>77</v>
      </c>
    </row>
    <row r="34" spans="4:10" x14ac:dyDescent="0.35">
      <c r="D34" s="5" t="s">
        <v>20</v>
      </c>
      <c r="E34" t="s">
        <v>78</v>
      </c>
      <c r="F34">
        <v>720</v>
      </c>
      <c r="G34">
        <v>626</v>
      </c>
      <c r="H34">
        <v>94</v>
      </c>
      <c r="I34" t="s">
        <v>70</v>
      </c>
      <c r="J34" t="s">
        <v>71</v>
      </c>
    </row>
    <row r="35" spans="4:10" x14ac:dyDescent="0.35">
      <c r="D35" s="5" t="s">
        <v>20</v>
      </c>
      <c r="E35" t="s">
        <v>79</v>
      </c>
      <c r="F35">
        <v>720</v>
      </c>
      <c r="G35">
        <v>625</v>
      </c>
      <c r="H35">
        <v>95</v>
      </c>
      <c r="I35" t="s">
        <v>80</v>
      </c>
      <c r="J35" t="s">
        <v>81</v>
      </c>
    </row>
    <row r="36" spans="4:10" x14ac:dyDescent="0.35">
      <c r="D36" s="5" t="s">
        <v>20</v>
      </c>
      <c r="E36" t="s">
        <v>82</v>
      </c>
      <c r="F36">
        <v>2160</v>
      </c>
      <c r="G36">
        <v>1825</v>
      </c>
      <c r="H36">
        <v>335</v>
      </c>
      <c r="I36" t="s">
        <v>83</v>
      </c>
      <c r="J36" t="s">
        <v>84</v>
      </c>
    </row>
    <row r="37" spans="4:10" x14ac:dyDescent="0.35">
      <c r="D37" s="5" t="s">
        <v>20</v>
      </c>
      <c r="E37" t="s">
        <v>85</v>
      </c>
      <c r="F37">
        <v>1440</v>
      </c>
      <c r="G37">
        <v>1234</v>
      </c>
      <c r="H37">
        <v>206</v>
      </c>
      <c r="I37" t="s">
        <v>86</v>
      </c>
      <c r="J37" t="s">
        <v>87</v>
      </c>
    </row>
    <row r="38" spans="4:10" x14ac:dyDescent="0.35">
      <c r="D38" s="5" t="s">
        <v>20</v>
      </c>
      <c r="E38" t="s">
        <v>88</v>
      </c>
      <c r="F38">
        <v>720</v>
      </c>
      <c r="G38">
        <v>617</v>
      </c>
      <c r="H38">
        <v>103</v>
      </c>
      <c r="I38" t="s">
        <v>86</v>
      </c>
      <c r="J38" t="s">
        <v>87</v>
      </c>
    </row>
    <row r="39" spans="4:10" x14ac:dyDescent="0.35">
      <c r="D39" s="5" t="s">
        <v>20</v>
      </c>
      <c r="E39" t="s">
        <v>89</v>
      </c>
      <c r="F39">
        <v>720</v>
      </c>
      <c r="G39">
        <v>624</v>
      </c>
      <c r="H39">
        <v>96</v>
      </c>
      <c r="I39" t="s">
        <v>90</v>
      </c>
      <c r="J39" t="s">
        <v>91</v>
      </c>
    </row>
    <row r="40" spans="4:10" x14ac:dyDescent="0.35">
      <c r="D40" s="5" t="s">
        <v>20</v>
      </c>
      <c r="E40" t="s">
        <v>92</v>
      </c>
      <c r="F40">
        <v>720</v>
      </c>
      <c r="G40">
        <v>613</v>
      </c>
      <c r="H40">
        <v>107</v>
      </c>
      <c r="I40" t="s">
        <v>93</v>
      </c>
      <c r="J40" t="s">
        <v>94</v>
      </c>
    </row>
    <row r="41" spans="4:10" x14ac:dyDescent="0.35">
      <c r="D41" s="5" t="s">
        <v>20</v>
      </c>
      <c r="E41" t="s">
        <v>95</v>
      </c>
      <c r="F41">
        <v>2160</v>
      </c>
      <c r="G41">
        <v>1820</v>
      </c>
      <c r="H41">
        <v>340</v>
      </c>
      <c r="I41" t="s">
        <v>96</v>
      </c>
      <c r="J41" t="s">
        <v>97</v>
      </c>
    </row>
    <row r="42" spans="4:10" x14ac:dyDescent="0.35">
      <c r="D42" s="5" t="s">
        <v>20</v>
      </c>
      <c r="E42" t="s">
        <v>98</v>
      </c>
      <c r="F42">
        <v>720</v>
      </c>
      <c r="G42">
        <v>603</v>
      </c>
      <c r="H42">
        <v>117</v>
      </c>
      <c r="I42" t="s">
        <v>99</v>
      </c>
      <c r="J42" t="s">
        <v>100</v>
      </c>
    </row>
    <row r="43" spans="4:10" x14ac:dyDescent="0.35">
      <c r="D43" s="5" t="s">
        <v>20</v>
      </c>
      <c r="E43" t="s">
        <v>101</v>
      </c>
      <c r="F43">
        <v>720</v>
      </c>
      <c r="G43">
        <v>612</v>
      </c>
      <c r="H43">
        <v>108</v>
      </c>
      <c r="I43" t="s">
        <v>102</v>
      </c>
      <c r="J43" t="s">
        <v>103</v>
      </c>
    </row>
    <row r="44" spans="4:10" x14ac:dyDescent="0.35">
      <c r="D44" s="5" t="s">
        <v>20</v>
      </c>
      <c r="E44" t="s">
        <v>104</v>
      </c>
      <c r="F44">
        <v>2880</v>
      </c>
      <c r="G44">
        <v>2476</v>
      </c>
      <c r="H44">
        <v>404</v>
      </c>
      <c r="I44" t="s">
        <v>105</v>
      </c>
      <c r="J44" t="s">
        <v>106</v>
      </c>
    </row>
    <row r="45" spans="4:10" x14ac:dyDescent="0.35">
      <c r="D45" s="5" t="s">
        <v>20</v>
      </c>
      <c r="E45" t="s">
        <v>107</v>
      </c>
      <c r="F45">
        <v>720</v>
      </c>
      <c r="G45">
        <v>616</v>
      </c>
      <c r="H45">
        <v>104</v>
      </c>
      <c r="I45" t="s">
        <v>58</v>
      </c>
      <c r="J45" t="s">
        <v>59</v>
      </c>
    </row>
    <row r="46" spans="4:10" x14ac:dyDescent="0.35">
      <c r="D46" s="5" t="s">
        <v>20</v>
      </c>
      <c r="E46" t="s">
        <v>108</v>
      </c>
      <c r="F46">
        <v>720</v>
      </c>
      <c r="G46">
        <v>617</v>
      </c>
      <c r="H46">
        <v>103</v>
      </c>
      <c r="I46" t="s">
        <v>86</v>
      </c>
      <c r="J46" t="s">
        <v>87</v>
      </c>
    </row>
    <row r="47" spans="4:10" x14ac:dyDescent="0.35">
      <c r="D47" s="5" t="s">
        <v>20</v>
      </c>
      <c r="E47" t="s">
        <v>109</v>
      </c>
      <c r="F47">
        <v>720</v>
      </c>
      <c r="G47">
        <v>607</v>
      </c>
      <c r="H47">
        <v>113</v>
      </c>
      <c r="I47" t="s">
        <v>110</v>
      </c>
      <c r="J47" t="s">
        <v>111</v>
      </c>
    </row>
    <row r="48" spans="4:10" x14ac:dyDescent="0.35">
      <c r="D48" s="5" t="s">
        <v>20</v>
      </c>
      <c r="E48" t="s">
        <v>112</v>
      </c>
      <c r="F48">
        <v>720</v>
      </c>
      <c r="G48">
        <v>602</v>
      </c>
      <c r="H48">
        <v>118</v>
      </c>
      <c r="I48" t="s">
        <v>67</v>
      </c>
      <c r="J48" t="s">
        <v>68</v>
      </c>
    </row>
    <row r="49" spans="4:10" x14ac:dyDescent="0.35">
      <c r="D49" s="5" t="s">
        <v>20</v>
      </c>
      <c r="E49" t="s">
        <v>113</v>
      </c>
      <c r="F49">
        <v>720</v>
      </c>
      <c r="G49">
        <v>612</v>
      </c>
      <c r="H49">
        <v>108</v>
      </c>
      <c r="I49" t="s">
        <v>102</v>
      </c>
      <c r="J49" t="s">
        <v>103</v>
      </c>
    </row>
    <row r="50" spans="4:10" x14ac:dyDescent="0.35">
      <c r="D50" s="5" t="s">
        <v>20</v>
      </c>
      <c r="E50" t="s">
        <v>114</v>
      </c>
      <c r="F50">
        <v>720</v>
      </c>
      <c r="G50">
        <v>605</v>
      </c>
      <c r="H50">
        <v>115</v>
      </c>
      <c r="I50" t="s">
        <v>115</v>
      </c>
      <c r="J50" t="s">
        <v>116</v>
      </c>
    </row>
    <row r="51" spans="4:10" x14ac:dyDescent="0.35">
      <c r="D51" s="5" t="s">
        <v>20</v>
      </c>
      <c r="E51" t="s">
        <v>117</v>
      </c>
      <c r="F51">
        <v>720</v>
      </c>
      <c r="G51">
        <v>623</v>
      </c>
      <c r="H51">
        <v>97</v>
      </c>
      <c r="I51" t="s">
        <v>118</v>
      </c>
      <c r="J51" t="s">
        <v>119</v>
      </c>
    </row>
    <row r="52" spans="4:10" x14ac:dyDescent="0.35">
      <c r="D52" s="5" t="s">
        <v>20</v>
      </c>
      <c r="E52" t="s">
        <v>120</v>
      </c>
      <c r="F52">
        <v>720</v>
      </c>
      <c r="G52">
        <v>611</v>
      </c>
      <c r="H52">
        <v>109</v>
      </c>
      <c r="I52" t="s">
        <v>121</v>
      </c>
      <c r="J52" t="s">
        <v>122</v>
      </c>
    </row>
    <row r="53" spans="4:10" x14ac:dyDescent="0.35">
      <c r="D53" s="5" t="s">
        <v>20</v>
      </c>
      <c r="E53" t="s">
        <v>123</v>
      </c>
      <c r="F53">
        <v>720</v>
      </c>
      <c r="G53">
        <v>622</v>
      </c>
      <c r="H53">
        <v>98</v>
      </c>
      <c r="I53" t="s">
        <v>124</v>
      </c>
      <c r="J53" t="s">
        <v>125</v>
      </c>
    </row>
    <row r="54" spans="4:10" x14ac:dyDescent="0.35">
      <c r="D54" s="5" t="s">
        <v>20</v>
      </c>
      <c r="E54" t="s">
        <v>126</v>
      </c>
      <c r="F54">
        <v>3600</v>
      </c>
      <c r="G54">
        <v>3034</v>
      </c>
      <c r="H54">
        <v>566</v>
      </c>
      <c r="I54" t="s">
        <v>127</v>
      </c>
      <c r="J54" t="s">
        <v>128</v>
      </c>
    </row>
    <row r="55" spans="4:10" x14ac:dyDescent="0.35">
      <c r="D55" s="5" t="s">
        <v>20</v>
      </c>
      <c r="E55" t="s">
        <v>129</v>
      </c>
      <c r="F55">
        <v>720</v>
      </c>
      <c r="G55">
        <v>619</v>
      </c>
      <c r="H55">
        <v>101</v>
      </c>
      <c r="I55" t="s">
        <v>105</v>
      </c>
      <c r="J55" t="s">
        <v>106</v>
      </c>
    </row>
    <row r="56" spans="4:10" x14ac:dyDescent="0.35">
      <c r="D56" s="5" t="s">
        <v>20</v>
      </c>
      <c r="E56" t="s">
        <v>130</v>
      </c>
      <c r="F56">
        <v>720</v>
      </c>
      <c r="G56">
        <v>625</v>
      </c>
      <c r="H56">
        <v>95</v>
      </c>
      <c r="I56" t="s">
        <v>80</v>
      </c>
      <c r="J56" t="s">
        <v>81</v>
      </c>
    </row>
    <row r="57" spans="4:10" x14ac:dyDescent="0.35">
      <c r="D57" s="5" t="s">
        <v>20</v>
      </c>
      <c r="E57" t="s">
        <v>131</v>
      </c>
      <c r="F57">
        <v>720</v>
      </c>
      <c r="G57">
        <v>622</v>
      </c>
      <c r="H57">
        <v>98</v>
      </c>
      <c r="I57" t="s">
        <v>124</v>
      </c>
      <c r="J57" t="s">
        <v>125</v>
      </c>
    </row>
    <row r="58" spans="4:10" x14ac:dyDescent="0.35">
      <c r="D58" s="5" t="s">
        <v>20</v>
      </c>
      <c r="E58" t="s">
        <v>132</v>
      </c>
      <c r="F58">
        <v>2160</v>
      </c>
      <c r="G58">
        <v>1830</v>
      </c>
      <c r="H58">
        <v>330</v>
      </c>
      <c r="I58" t="s">
        <v>133</v>
      </c>
      <c r="J58" t="s">
        <v>134</v>
      </c>
    </row>
    <row r="59" spans="4:10" x14ac:dyDescent="0.35">
      <c r="D59" s="5" t="s">
        <v>20</v>
      </c>
      <c r="E59" t="s">
        <v>135</v>
      </c>
      <c r="F59">
        <v>1440</v>
      </c>
      <c r="G59">
        <v>1239</v>
      </c>
      <c r="H59">
        <v>201</v>
      </c>
      <c r="I59" t="s">
        <v>136</v>
      </c>
      <c r="J59" t="s">
        <v>137</v>
      </c>
    </row>
    <row r="60" spans="4:10" x14ac:dyDescent="0.35">
      <c r="D60" s="5" t="s">
        <v>20</v>
      </c>
      <c r="E60" t="s">
        <v>25</v>
      </c>
      <c r="F60">
        <v>720</v>
      </c>
      <c r="G60">
        <v>626</v>
      </c>
      <c r="H60">
        <v>94</v>
      </c>
      <c r="I60" t="s">
        <v>70</v>
      </c>
      <c r="J60" t="s">
        <v>71</v>
      </c>
    </row>
    <row r="61" spans="4:10" x14ac:dyDescent="0.35">
      <c r="D61" s="5" t="s">
        <v>20</v>
      </c>
      <c r="E61" t="s">
        <v>138</v>
      </c>
      <c r="F61">
        <v>720</v>
      </c>
      <c r="G61">
        <v>607</v>
      </c>
      <c r="H61">
        <v>113</v>
      </c>
      <c r="I61" t="s">
        <v>110</v>
      </c>
      <c r="J61" t="s">
        <v>111</v>
      </c>
    </row>
    <row r="62" spans="4:10" x14ac:dyDescent="0.35">
      <c r="D62" s="5" t="s">
        <v>20</v>
      </c>
      <c r="E62" t="s">
        <v>139</v>
      </c>
      <c r="F62">
        <v>720</v>
      </c>
      <c r="G62">
        <v>600</v>
      </c>
      <c r="H62">
        <v>120</v>
      </c>
      <c r="I62" t="s">
        <v>61</v>
      </c>
      <c r="J62" t="s">
        <v>62</v>
      </c>
    </row>
    <row r="63" spans="4:10" x14ac:dyDescent="0.35">
      <c r="D63" s="5" t="s">
        <v>20</v>
      </c>
      <c r="E63" t="s">
        <v>140</v>
      </c>
      <c r="F63">
        <v>720</v>
      </c>
      <c r="G63">
        <v>616</v>
      </c>
      <c r="H63">
        <v>104</v>
      </c>
      <c r="I63" t="s">
        <v>58</v>
      </c>
      <c r="J63" t="s">
        <v>59</v>
      </c>
    </row>
    <row r="64" spans="4:10" x14ac:dyDescent="0.35">
      <c r="D64" s="5" t="s">
        <v>20</v>
      </c>
      <c r="E64" t="s">
        <v>141</v>
      </c>
      <c r="F64">
        <v>720</v>
      </c>
      <c r="G64">
        <v>611</v>
      </c>
      <c r="H64">
        <v>109</v>
      </c>
      <c r="I64" t="s">
        <v>121</v>
      </c>
      <c r="J64" t="s">
        <v>122</v>
      </c>
    </row>
    <row r="65" spans="4:10" x14ac:dyDescent="0.35">
      <c r="D65" s="5" t="s">
        <v>20</v>
      </c>
      <c r="E65" t="s">
        <v>142</v>
      </c>
      <c r="F65">
        <v>720</v>
      </c>
      <c r="G65">
        <v>625</v>
      </c>
      <c r="H65">
        <v>95</v>
      </c>
      <c r="I65" t="s">
        <v>80</v>
      </c>
      <c r="J65" t="s">
        <v>81</v>
      </c>
    </row>
    <row r="66" spans="4:10" x14ac:dyDescent="0.35">
      <c r="D66" s="5" t="s">
        <v>20</v>
      </c>
      <c r="E66" t="s">
        <v>143</v>
      </c>
      <c r="F66">
        <v>720</v>
      </c>
      <c r="G66">
        <v>622</v>
      </c>
      <c r="H66">
        <v>98</v>
      </c>
      <c r="I66" t="s">
        <v>124</v>
      </c>
      <c r="J66" t="s">
        <v>125</v>
      </c>
    </row>
    <row r="67" spans="4:10" x14ac:dyDescent="0.35">
      <c r="D67" s="5" t="s">
        <v>20</v>
      </c>
      <c r="E67" t="s">
        <v>144</v>
      </c>
      <c r="F67">
        <v>720</v>
      </c>
      <c r="G67">
        <v>621</v>
      </c>
      <c r="H67">
        <v>99</v>
      </c>
      <c r="I67" t="s">
        <v>145</v>
      </c>
      <c r="J67" t="s">
        <v>146</v>
      </c>
    </row>
    <row r="68" spans="4:10" x14ac:dyDescent="0.35">
      <c r="D68" s="5" t="s">
        <v>20</v>
      </c>
      <c r="E68" t="s">
        <v>147</v>
      </c>
      <c r="F68">
        <v>720</v>
      </c>
      <c r="G68">
        <v>600</v>
      </c>
      <c r="H68">
        <v>120</v>
      </c>
      <c r="I68" t="s">
        <v>61</v>
      </c>
      <c r="J68" t="s">
        <v>62</v>
      </c>
    </row>
    <row r="69" spans="4:10" x14ac:dyDescent="0.35">
      <c r="D69" s="5" t="s">
        <v>20</v>
      </c>
      <c r="E69" t="s">
        <v>148</v>
      </c>
      <c r="F69">
        <v>3636</v>
      </c>
      <c r="G69">
        <v>3051</v>
      </c>
      <c r="H69">
        <v>585</v>
      </c>
      <c r="I69" t="s">
        <v>149</v>
      </c>
      <c r="J69" t="s">
        <v>150</v>
      </c>
    </row>
    <row r="70" spans="4:10" x14ac:dyDescent="0.35">
      <c r="D70" s="5" t="s">
        <v>20</v>
      </c>
      <c r="E70" t="s">
        <v>151</v>
      </c>
      <c r="F70">
        <v>720</v>
      </c>
      <c r="G70">
        <v>624</v>
      </c>
      <c r="H70">
        <v>96</v>
      </c>
      <c r="I70" t="s">
        <v>90</v>
      </c>
      <c r="J70" t="s">
        <v>91</v>
      </c>
    </row>
    <row r="71" spans="4:10" x14ac:dyDescent="0.35">
      <c r="D71" s="5" t="s">
        <v>20</v>
      </c>
      <c r="E71" t="s">
        <v>152</v>
      </c>
      <c r="F71">
        <v>720</v>
      </c>
      <c r="G71">
        <v>606</v>
      </c>
      <c r="H71">
        <v>114</v>
      </c>
      <c r="I71" t="s">
        <v>76</v>
      </c>
      <c r="J71" t="s">
        <v>77</v>
      </c>
    </row>
    <row r="72" spans="4:10" x14ac:dyDescent="0.35">
      <c r="D72" s="5" t="s">
        <v>20</v>
      </c>
      <c r="E72" t="s">
        <v>153</v>
      </c>
      <c r="F72">
        <v>2160</v>
      </c>
      <c r="G72">
        <v>1832</v>
      </c>
      <c r="H72">
        <v>328</v>
      </c>
      <c r="I72" t="s">
        <v>154</v>
      </c>
      <c r="J72" t="s">
        <v>155</v>
      </c>
    </row>
    <row r="73" spans="4:10" x14ac:dyDescent="0.35">
      <c r="D73" s="5" t="s">
        <v>20</v>
      </c>
      <c r="E73" t="s">
        <v>156</v>
      </c>
      <c r="F73">
        <v>720</v>
      </c>
      <c r="G73">
        <v>623</v>
      </c>
      <c r="H73">
        <v>97</v>
      </c>
      <c r="I73" t="s">
        <v>118</v>
      </c>
      <c r="J73" t="s">
        <v>119</v>
      </c>
    </row>
    <row r="74" spans="4:10" x14ac:dyDescent="0.35">
      <c r="D74" s="5" t="s">
        <v>20</v>
      </c>
      <c r="E74" t="s">
        <v>157</v>
      </c>
      <c r="F74">
        <v>2160</v>
      </c>
      <c r="G74">
        <v>1875</v>
      </c>
      <c r="H74">
        <v>285</v>
      </c>
      <c r="I74" t="s">
        <v>80</v>
      </c>
      <c r="J74" t="s">
        <v>81</v>
      </c>
    </row>
    <row r="75" spans="4:10" x14ac:dyDescent="0.35">
      <c r="D75" s="5" t="s">
        <v>20</v>
      </c>
      <c r="E75" t="s">
        <v>158</v>
      </c>
      <c r="F75">
        <v>1440</v>
      </c>
      <c r="G75">
        <v>1230</v>
      </c>
      <c r="H75">
        <v>210</v>
      </c>
      <c r="I75" t="s">
        <v>159</v>
      </c>
      <c r="J75" t="s">
        <v>160</v>
      </c>
    </row>
    <row r="76" spans="4:10" x14ac:dyDescent="0.35">
      <c r="D76" s="9" t="s">
        <v>26</v>
      </c>
    </row>
    <row r="79" spans="4:10" x14ac:dyDescent="0.35">
      <c r="D79" s="13" t="s">
        <v>4</v>
      </c>
      <c r="E79" s="13" t="s">
        <v>0</v>
      </c>
      <c r="F79" s="13" t="s">
        <v>7</v>
      </c>
      <c r="G79" s="13" t="s">
        <v>8</v>
      </c>
      <c r="H79" s="13" t="s">
        <v>9</v>
      </c>
      <c r="I79" s="13" t="s">
        <v>10</v>
      </c>
      <c r="J79" s="13" t="s">
        <v>11</v>
      </c>
    </row>
    <row r="80" spans="4:10" x14ac:dyDescent="0.35">
      <c r="D80" t="s">
        <v>19</v>
      </c>
      <c r="E80" t="s">
        <v>57</v>
      </c>
      <c r="F80">
        <v>120</v>
      </c>
      <c r="G80">
        <v>105</v>
      </c>
      <c r="H80">
        <v>15</v>
      </c>
      <c r="I80" t="s">
        <v>161</v>
      </c>
      <c r="J80" t="s">
        <v>162</v>
      </c>
    </row>
    <row r="81" spans="4:10" x14ac:dyDescent="0.35">
      <c r="D81" t="s">
        <v>19</v>
      </c>
      <c r="E81" t="s">
        <v>60</v>
      </c>
      <c r="F81">
        <v>120</v>
      </c>
      <c r="G81">
        <v>100</v>
      </c>
      <c r="H81">
        <v>20</v>
      </c>
      <c r="I81" t="s">
        <v>61</v>
      </c>
      <c r="J81" t="s">
        <v>62</v>
      </c>
    </row>
    <row r="82" spans="4:10" x14ac:dyDescent="0.35">
      <c r="D82" t="s">
        <v>19</v>
      </c>
      <c r="E82" t="s">
        <v>63</v>
      </c>
      <c r="F82">
        <v>720</v>
      </c>
      <c r="G82">
        <v>605</v>
      </c>
      <c r="H82">
        <v>115</v>
      </c>
      <c r="I82" t="s">
        <v>115</v>
      </c>
      <c r="J82" t="s">
        <v>116</v>
      </c>
    </row>
    <row r="83" spans="4:10" x14ac:dyDescent="0.35">
      <c r="D83" t="s">
        <v>19</v>
      </c>
      <c r="E83" t="s">
        <v>66</v>
      </c>
      <c r="F83">
        <v>120</v>
      </c>
      <c r="G83">
        <v>100</v>
      </c>
      <c r="H83">
        <v>20</v>
      </c>
      <c r="I83" t="s">
        <v>61</v>
      </c>
      <c r="J83" t="s">
        <v>62</v>
      </c>
    </row>
    <row r="84" spans="4:10" x14ac:dyDescent="0.35">
      <c r="D84" t="s">
        <v>19</v>
      </c>
      <c r="E84" t="s">
        <v>69</v>
      </c>
      <c r="F84">
        <v>120</v>
      </c>
      <c r="G84">
        <v>103</v>
      </c>
      <c r="H84">
        <v>17</v>
      </c>
      <c r="I84" t="s">
        <v>163</v>
      </c>
      <c r="J84" t="s">
        <v>164</v>
      </c>
    </row>
    <row r="85" spans="4:10" x14ac:dyDescent="0.35">
      <c r="D85" t="s">
        <v>19</v>
      </c>
      <c r="E85" t="s">
        <v>72</v>
      </c>
      <c r="F85">
        <v>396</v>
      </c>
      <c r="G85">
        <v>333</v>
      </c>
      <c r="H85">
        <v>63</v>
      </c>
      <c r="I85" t="s">
        <v>165</v>
      </c>
      <c r="J85" t="s">
        <v>166</v>
      </c>
    </row>
    <row r="86" spans="4:10" x14ac:dyDescent="0.35">
      <c r="D86" t="s">
        <v>19</v>
      </c>
      <c r="E86" t="s">
        <v>75</v>
      </c>
      <c r="F86">
        <v>120</v>
      </c>
      <c r="G86">
        <v>101</v>
      </c>
      <c r="H86">
        <v>19</v>
      </c>
      <c r="I86" t="s">
        <v>76</v>
      </c>
      <c r="J86" t="s">
        <v>77</v>
      </c>
    </row>
    <row r="87" spans="4:10" x14ac:dyDescent="0.35">
      <c r="D87" t="s">
        <v>19</v>
      </c>
      <c r="E87" t="s">
        <v>78</v>
      </c>
      <c r="F87">
        <v>120</v>
      </c>
      <c r="G87">
        <v>105</v>
      </c>
      <c r="H87">
        <v>15</v>
      </c>
      <c r="I87" t="s">
        <v>161</v>
      </c>
      <c r="J87" t="s">
        <v>162</v>
      </c>
    </row>
    <row r="88" spans="4:10" x14ac:dyDescent="0.35">
      <c r="D88" t="s">
        <v>19</v>
      </c>
      <c r="E88" t="s">
        <v>79</v>
      </c>
      <c r="F88">
        <v>120</v>
      </c>
      <c r="G88">
        <v>102</v>
      </c>
      <c r="H88">
        <v>18</v>
      </c>
      <c r="I88" t="s">
        <v>102</v>
      </c>
      <c r="J88" t="s">
        <v>103</v>
      </c>
    </row>
    <row r="89" spans="4:10" x14ac:dyDescent="0.35">
      <c r="D89" t="s">
        <v>19</v>
      </c>
      <c r="E89" t="s">
        <v>82</v>
      </c>
      <c r="F89">
        <v>360</v>
      </c>
      <c r="G89">
        <v>308</v>
      </c>
      <c r="H89">
        <v>52</v>
      </c>
      <c r="I89" t="s">
        <v>58</v>
      </c>
      <c r="J89" t="s">
        <v>59</v>
      </c>
    </row>
    <row r="90" spans="4:10" x14ac:dyDescent="0.35">
      <c r="D90" t="s">
        <v>19</v>
      </c>
      <c r="E90" t="s">
        <v>85</v>
      </c>
      <c r="F90">
        <v>240</v>
      </c>
      <c r="G90">
        <v>208</v>
      </c>
      <c r="H90">
        <v>32</v>
      </c>
      <c r="I90" t="s">
        <v>90</v>
      </c>
      <c r="J90" t="s">
        <v>91</v>
      </c>
    </row>
    <row r="91" spans="4:10" x14ac:dyDescent="0.35">
      <c r="D91" t="s">
        <v>19</v>
      </c>
      <c r="E91" t="s">
        <v>88</v>
      </c>
      <c r="F91">
        <v>120</v>
      </c>
      <c r="G91">
        <v>104</v>
      </c>
      <c r="H91">
        <v>16</v>
      </c>
      <c r="I91" t="s">
        <v>90</v>
      </c>
      <c r="J91" t="s">
        <v>91</v>
      </c>
    </row>
    <row r="92" spans="4:10" x14ac:dyDescent="0.35">
      <c r="D92" t="s">
        <v>19</v>
      </c>
      <c r="E92" t="s">
        <v>89</v>
      </c>
      <c r="F92">
        <v>120</v>
      </c>
      <c r="G92">
        <v>107</v>
      </c>
      <c r="H92">
        <v>13</v>
      </c>
      <c r="I92" t="s">
        <v>167</v>
      </c>
      <c r="J92" t="s">
        <v>168</v>
      </c>
    </row>
    <row r="93" spans="4:10" x14ac:dyDescent="0.35">
      <c r="D93" t="s">
        <v>19</v>
      </c>
      <c r="E93" t="s">
        <v>92</v>
      </c>
      <c r="F93">
        <v>120</v>
      </c>
      <c r="G93">
        <v>100</v>
      </c>
      <c r="H93">
        <v>20</v>
      </c>
      <c r="I93" t="s">
        <v>61</v>
      </c>
      <c r="J93" t="s">
        <v>62</v>
      </c>
    </row>
    <row r="94" spans="4:10" x14ac:dyDescent="0.35">
      <c r="D94" t="s">
        <v>19</v>
      </c>
      <c r="E94" t="s">
        <v>95</v>
      </c>
      <c r="F94">
        <v>360</v>
      </c>
      <c r="G94">
        <v>305</v>
      </c>
      <c r="H94">
        <v>55</v>
      </c>
      <c r="I94" t="s">
        <v>133</v>
      </c>
      <c r="J94" t="s">
        <v>134</v>
      </c>
    </row>
    <row r="95" spans="4:10" x14ac:dyDescent="0.35">
      <c r="D95" t="s">
        <v>19</v>
      </c>
      <c r="E95" t="s">
        <v>98</v>
      </c>
      <c r="F95">
        <v>120</v>
      </c>
      <c r="G95">
        <v>100</v>
      </c>
      <c r="H95">
        <v>20</v>
      </c>
      <c r="I95" t="s">
        <v>61</v>
      </c>
      <c r="J95" t="s">
        <v>62</v>
      </c>
    </row>
    <row r="96" spans="4:10" x14ac:dyDescent="0.35">
      <c r="D96" t="s">
        <v>19</v>
      </c>
      <c r="E96" t="s">
        <v>101</v>
      </c>
      <c r="F96">
        <v>120</v>
      </c>
      <c r="G96">
        <v>104</v>
      </c>
      <c r="H96">
        <v>16</v>
      </c>
      <c r="I96" t="s">
        <v>90</v>
      </c>
      <c r="J96" t="s">
        <v>91</v>
      </c>
    </row>
    <row r="97" spans="4:10" x14ac:dyDescent="0.35">
      <c r="D97" t="s">
        <v>19</v>
      </c>
      <c r="E97" t="s">
        <v>104</v>
      </c>
      <c r="F97">
        <v>480</v>
      </c>
      <c r="G97">
        <v>414</v>
      </c>
      <c r="H97">
        <v>66</v>
      </c>
      <c r="I97" t="s">
        <v>145</v>
      </c>
      <c r="J97" t="s">
        <v>146</v>
      </c>
    </row>
    <row r="98" spans="4:10" x14ac:dyDescent="0.35">
      <c r="D98" t="s">
        <v>19</v>
      </c>
      <c r="E98" t="s">
        <v>107</v>
      </c>
      <c r="F98">
        <v>120</v>
      </c>
      <c r="G98">
        <v>101</v>
      </c>
      <c r="H98">
        <v>19</v>
      </c>
      <c r="I98" t="s">
        <v>76</v>
      </c>
      <c r="J98" t="s">
        <v>77</v>
      </c>
    </row>
    <row r="99" spans="4:10" x14ac:dyDescent="0.35">
      <c r="D99" t="s">
        <v>19</v>
      </c>
      <c r="E99" t="s">
        <v>108</v>
      </c>
      <c r="F99">
        <v>120</v>
      </c>
      <c r="G99">
        <v>101</v>
      </c>
      <c r="H99">
        <v>19</v>
      </c>
      <c r="I99" t="s">
        <v>76</v>
      </c>
      <c r="J99" t="s">
        <v>77</v>
      </c>
    </row>
    <row r="100" spans="4:10" x14ac:dyDescent="0.35">
      <c r="D100" t="s">
        <v>19</v>
      </c>
      <c r="E100" t="s">
        <v>109</v>
      </c>
      <c r="F100">
        <v>120</v>
      </c>
      <c r="G100">
        <v>100</v>
      </c>
      <c r="H100">
        <v>20</v>
      </c>
      <c r="I100" t="s">
        <v>61</v>
      </c>
      <c r="J100" t="s">
        <v>62</v>
      </c>
    </row>
    <row r="101" spans="4:10" x14ac:dyDescent="0.35">
      <c r="D101" t="s">
        <v>19</v>
      </c>
      <c r="E101" t="s">
        <v>112</v>
      </c>
      <c r="F101">
        <v>120</v>
      </c>
      <c r="G101">
        <v>101</v>
      </c>
      <c r="H101">
        <v>19</v>
      </c>
      <c r="I101" t="s">
        <v>76</v>
      </c>
      <c r="J101" t="s">
        <v>77</v>
      </c>
    </row>
    <row r="102" spans="4:10" x14ac:dyDescent="0.35">
      <c r="D102" t="s">
        <v>19</v>
      </c>
      <c r="E102" t="s">
        <v>113</v>
      </c>
      <c r="F102">
        <v>120</v>
      </c>
      <c r="G102">
        <v>103</v>
      </c>
      <c r="H102">
        <v>17</v>
      </c>
      <c r="I102" t="s">
        <v>163</v>
      </c>
      <c r="J102" t="s">
        <v>164</v>
      </c>
    </row>
    <row r="103" spans="4:10" x14ac:dyDescent="0.35">
      <c r="D103" t="s">
        <v>19</v>
      </c>
      <c r="E103" t="s">
        <v>114</v>
      </c>
      <c r="F103">
        <v>120</v>
      </c>
      <c r="G103">
        <v>101</v>
      </c>
      <c r="H103">
        <v>19</v>
      </c>
      <c r="I103" t="s">
        <v>76</v>
      </c>
      <c r="J103" t="s">
        <v>77</v>
      </c>
    </row>
    <row r="104" spans="4:10" x14ac:dyDescent="0.35">
      <c r="D104" t="s">
        <v>19</v>
      </c>
      <c r="E104" t="s">
        <v>117</v>
      </c>
      <c r="F104">
        <v>120</v>
      </c>
      <c r="G104">
        <v>104</v>
      </c>
      <c r="H104">
        <v>16</v>
      </c>
      <c r="I104" t="s">
        <v>90</v>
      </c>
      <c r="J104" t="s">
        <v>91</v>
      </c>
    </row>
    <row r="105" spans="4:10" x14ac:dyDescent="0.35">
      <c r="D105" t="s">
        <v>19</v>
      </c>
      <c r="E105" t="s">
        <v>120</v>
      </c>
      <c r="F105">
        <v>120</v>
      </c>
      <c r="G105">
        <v>100</v>
      </c>
      <c r="H105">
        <v>20</v>
      </c>
      <c r="I105" t="s">
        <v>61</v>
      </c>
      <c r="J105" t="s">
        <v>62</v>
      </c>
    </row>
    <row r="106" spans="4:10" x14ac:dyDescent="0.35">
      <c r="D106" t="s">
        <v>19</v>
      </c>
      <c r="E106" t="s">
        <v>123</v>
      </c>
      <c r="F106">
        <v>120</v>
      </c>
      <c r="G106">
        <v>101</v>
      </c>
      <c r="H106">
        <v>19</v>
      </c>
      <c r="I106" t="s">
        <v>76</v>
      </c>
      <c r="J106" t="s">
        <v>77</v>
      </c>
    </row>
    <row r="107" spans="4:10" x14ac:dyDescent="0.35">
      <c r="D107" t="s">
        <v>19</v>
      </c>
      <c r="E107" t="s">
        <v>126</v>
      </c>
      <c r="F107">
        <v>600</v>
      </c>
      <c r="G107">
        <v>504</v>
      </c>
      <c r="H107">
        <v>96</v>
      </c>
      <c r="I107" t="s">
        <v>169</v>
      </c>
      <c r="J107" t="s">
        <v>170</v>
      </c>
    </row>
    <row r="108" spans="4:10" x14ac:dyDescent="0.35">
      <c r="D108" t="s">
        <v>19</v>
      </c>
      <c r="E108" t="s">
        <v>129</v>
      </c>
      <c r="F108">
        <v>120</v>
      </c>
      <c r="G108">
        <v>106</v>
      </c>
      <c r="H108">
        <v>14</v>
      </c>
      <c r="I108" t="s">
        <v>171</v>
      </c>
      <c r="J108" t="s">
        <v>172</v>
      </c>
    </row>
    <row r="109" spans="4:10" x14ac:dyDescent="0.35">
      <c r="D109" t="s">
        <v>19</v>
      </c>
      <c r="E109" t="s">
        <v>130</v>
      </c>
      <c r="F109">
        <v>120</v>
      </c>
      <c r="G109">
        <v>104</v>
      </c>
      <c r="H109">
        <v>16</v>
      </c>
      <c r="I109" t="s">
        <v>90</v>
      </c>
      <c r="J109" t="s">
        <v>91</v>
      </c>
    </row>
    <row r="110" spans="4:10" x14ac:dyDescent="0.35">
      <c r="D110" t="s">
        <v>19</v>
      </c>
      <c r="E110" t="s">
        <v>131</v>
      </c>
      <c r="F110">
        <v>120</v>
      </c>
      <c r="G110">
        <v>106</v>
      </c>
      <c r="H110">
        <v>14</v>
      </c>
      <c r="I110" t="s">
        <v>171</v>
      </c>
      <c r="J110" t="s">
        <v>172</v>
      </c>
    </row>
    <row r="111" spans="4:10" x14ac:dyDescent="0.35">
      <c r="D111" t="s">
        <v>19</v>
      </c>
      <c r="E111" t="s">
        <v>132</v>
      </c>
      <c r="F111">
        <v>360</v>
      </c>
      <c r="G111">
        <v>300</v>
      </c>
      <c r="H111">
        <v>60</v>
      </c>
      <c r="I111" t="s">
        <v>61</v>
      </c>
      <c r="J111" t="s">
        <v>62</v>
      </c>
    </row>
    <row r="112" spans="4:10" x14ac:dyDescent="0.35">
      <c r="D112" t="s">
        <v>19</v>
      </c>
      <c r="E112" t="s">
        <v>135</v>
      </c>
      <c r="F112">
        <v>240</v>
      </c>
      <c r="G112">
        <v>202</v>
      </c>
      <c r="H112">
        <v>38</v>
      </c>
      <c r="I112" t="s">
        <v>76</v>
      </c>
      <c r="J112" t="s">
        <v>77</v>
      </c>
    </row>
    <row r="113" spans="4:10" x14ac:dyDescent="0.35">
      <c r="D113" t="s">
        <v>19</v>
      </c>
      <c r="E113" t="s">
        <v>25</v>
      </c>
      <c r="F113">
        <v>120</v>
      </c>
      <c r="G113">
        <v>105</v>
      </c>
      <c r="H113">
        <v>15</v>
      </c>
      <c r="I113" t="s">
        <v>161</v>
      </c>
      <c r="J113" t="s">
        <v>162</v>
      </c>
    </row>
    <row r="114" spans="4:10" x14ac:dyDescent="0.35">
      <c r="D114" t="s">
        <v>19</v>
      </c>
      <c r="E114" t="s">
        <v>138</v>
      </c>
      <c r="F114">
        <v>120</v>
      </c>
      <c r="G114">
        <v>103</v>
      </c>
      <c r="H114">
        <v>17</v>
      </c>
      <c r="I114" t="s">
        <v>163</v>
      </c>
      <c r="J114" t="s">
        <v>164</v>
      </c>
    </row>
    <row r="115" spans="4:10" x14ac:dyDescent="0.35">
      <c r="D115" t="s">
        <v>19</v>
      </c>
      <c r="E115" t="s">
        <v>139</v>
      </c>
      <c r="F115">
        <v>120</v>
      </c>
      <c r="G115">
        <v>100</v>
      </c>
      <c r="H115">
        <v>20</v>
      </c>
      <c r="I115" t="s">
        <v>61</v>
      </c>
      <c r="J115" t="s">
        <v>62</v>
      </c>
    </row>
    <row r="116" spans="4:10" x14ac:dyDescent="0.35">
      <c r="D116" t="s">
        <v>19</v>
      </c>
      <c r="E116" t="s">
        <v>140</v>
      </c>
      <c r="F116">
        <v>120</v>
      </c>
      <c r="G116">
        <v>103</v>
      </c>
      <c r="H116">
        <v>17</v>
      </c>
      <c r="I116" t="s">
        <v>163</v>
      </c>
      <c r="J116" t="s">
        <v>164</v>
      </c>
    </row>
    <row r="117" spans="4:10" x14ac:dyDescent="0.35">
      <c r="D117" t="s">
        <v>19</v>
      </c>
      <c r="E117" t="s">
        <v>141</v>
      </c>
      <c r="F117">
        <v>120</v>
      </c>
      <c r="G117">
        <v>102</v>
      </c>
      <c r="H117">
        <v>18</v>
      </c>
      <c r="I117" t="s">
        <v>102</v>
      </c>
      <c r="J117" t="s">
        <v>103</v>
      </c>
    </row>
    <row r="118" spans="4:10" x14ac:dyDescent="0.35">
      <c r="D118" t="s">
        <v>19</v>
      </c>
      <c r="E118" t="s">
        <v>142</v>
      </c>
      <c r="F118">
        <v>120</v>
      </c>
      <c r="G118">
        <v>104</v>
      </c>
      <c r="H118">
        <v>16</v>
      </c>
      <c r="I118" t="s">
        <v>90</v>
      </c>
      <c r="J118" t="s">
        <v>91</v>
      </c>
    </row>
    <row r="119" spans="4:10" x14ac:dyDescent="0.35">
      <c r="D119" t="s">
        <v>19</v>
      </c>
      <c r="E119" t="s">
        <v>143</v>
      </c>
      <c r="F119">
        <v>120</v>
      </c>
      <c r="G119">
        <v>104</v>
      </c>
      <c r="H119">
        <v>16</v>
      </c>
      <c r="I119" t="s">
        <v>90</v>
      </c>
      <c r="J119" t="s">
        <v>91</v>
      </c>
    </row>
    <row r="120" spans="4:10" x14ac:dyDescent="0.35">
      <c r="D120" t="s">
        <v>19</v>
      </c>
      <c r="E120" t="s">
        <v>144</v>
      </c>
      <c r="F120">
        <v>120</v>
      </c>
      <c r="G120">
        <v>103</v>
      </c>
      <c r="H120">
        <v>17</v>
      </c>
      <c r="I120" t="s">
        <v>163</v>
      </c>
      <c r="J120" t="s">
        <v>164</v>
      </c>
    </row>
    <row r="121" spans="4:10" x14ac:dyDescent="0.35">
      <c r="D121" t="s">
        <v>19</v>
      </c>
      <c r="E121" t="s">
        <v>147</v>
      </c>
      <c r="F121">
        <v>120</v>
      </c>
      <c r="G121">
        <v>100</v>
      </c>
      <c r="H121">
        <v>20</v>
      </c>
      <c r="I121" t="s">
        <v>61</v>
      </c>
      <c r="J121" t="s">
        <v>62</v>
      </c>
    </row>
    <row r="122" spans="4:10" x14ac:dyDescent="0.35">
      <c r="D122" t="s">
        <v>19</v>
      </c>
      <c r="E122" t="s">
        <v>148</v>
      </c>
      <c r="F122">
        <v>606</v>
      </c>
      <c r="G122">
        <v>508</v>
      </c>
      <c r="H122">
        <v>98</v>
      </c>
      <c r="I122" t="s">
        <v>173</v>
      </c>
      <c r="J122" t="s">
        <v>174</v>
      </c>
    </row>
    <row r="123" spans="4:10" x14ac:dyDescent="0.35">
      <c r="D123" t="s">
        <v>19</v>
      </c>
      <c r="E123" t="s">
        <v>151</v>
      </c>
      <c r="F123">
        <v>120</v>
      </c>
      <c r="G123">
        <v>106</v>
      </c>
      <c r="H123">
        <v>14</v>
      </c>
      <c r="I123" t="s">
        <v>171</v>
      </c>
      <c r="J123" t="s">
        <v>172</v>
      </c>
    </row>
    <row r="124" spans="4:10" x14ac:dyDescent="0.35">
      <c r="D124" t="s">
        <v>19</v>
      </c>
      <c r="E124" t="s">
        <v>152</v>
      </c>
      <c r="F124">
        <v>120</v>
      </c>
      <c r="G124">
        <v>100</v>
      </c>
      <c r="H124">
        <v>20</v>
      </c>
      <c r="I124" t="s">
        <v>61</v>
      </c>
      <c r="J124" t="s">
        <v>62</v>
      </c>
    </row>
    <row r="125" spans="4:10" x14ac:dyDescent="0.35">
      <c r="D125" t="s">
        <v>19</v>
      </c>
      <c r="E125" t="s">
        <v>153</v>
      </c>
      <c r="F125">
        <v>360</v>
      </c>
      <c r="G125">
        <v>301</v>
      </c>
      <c r="H125">
        <v>59</v>
      </c>
      <c r="I125" t="s">
        <v>67</v>
      </c>
      <c r="J125" t="s">
        <v>68</v>
      </c>
    </row>
    <row r="126" spans="4:10" x14ac:dyDescent="0.35">
      <c r="D126" t="s">
        <v>19</v>
      </c>
      <c r="E126" t="s">
        <v>156</v>
      </c>
      <c r="F126">
        <v>120</v>
      </c>
      <c r="G126">
        <v>104</v>
      </c>
      <c r="H126">
        <v>16</v>
      </c>
      <c r="I126" t="s">
        <v>90</v>
      </c>
      <c r="J126" t="s">
        <v>91</v>
      </c>
    </row>
    <row r="127" spans="4:10" x14ac:dyDescent="0.35">
      <c r="D127" t="s">
        <v>19</v>
      </c>
      <c r="E127" t="s">
        <v>157</v>
      </c>
      <c r="F127">
        <v>360</v>
      </c>
      <c r="G127">
        <v>311</v>
      </c>
      <c r="H127">
        <v>49</v>
      </c>
      <c r="I127" t="s">
        <v>124</v>
      </c>
      <c r="J127" t="s">
        <v>125</v>
      </c>
    </row>
    <row r="128" spans="4:10" x14ac:dyDescent="0.35">
      <c r="D128" t="s">
        <v>19</v>
      </c>
      <c r="E128" t="s">
        <v>158</v>
      </c>
      <c r="F128">
        <v>240</v>
      </c>
      <c r="G128">
        <v>202</v>
      </c>
      <c r="H128">
        <v>38</v>
      </c>
      <c r="I128" t="s">
        <v>76</v>
      </c>
      <c r="J128" t="s">
        <v>77</v>
      </c>
    </row>
    <row r="129" spans="4:10" x14ac:dyDescent="0.35">
      <c r="D129" t="s">
        <v>21</v>
      </c>
      <c r="E129" t="s">
        <v>57</v>
      </c>
      <c r="F129">
        <v>120</v>
      </c>
      <c r="G129">
        <v>103</v>
      </c>
      <c r="H129">
        <v>17</v>
      </c>
      <c r="I129" t="s">
        <v>163</v>
      </c>
      <c r="J129" t="s">
        <v>164</v>
      </c>
    </row>
    <row r="130" spans="4:10" x14ac:dyDescent="0.35">
      <c r="D130" t="s">
        <v>21</v>
      </c>
      <c r="E130" t="s">
        <v>60</v>
      </c>
      <c r="F130">
        <v>120</v>
      </c>
      <c r="G130">
        <v>100</v>
      </c>
      <c r="H130">
        <v>20</v>
      </c>
      <c r="I130" t="s">
        <v>61</v>
      </c>
      <c r="J130" t="s">
        <v>62</v>
      </c>
    </row>
    <row r="131" spans="4:10" x14ac:dyDescent="0.35">
      <c r="D131" t="s">
        <v>21</v>
      </c>
      <c r="E131" t="s">
        <v>63</v>
      </c>
      <c r="F131">
        <v>720</v>
      </c>
      <c r="G131">
        <v>604</v>
      </c>
      <c r="H131">
        <v>116</v>
      </c>
      <c r="I131" t="s">
        <v>175</v>
      </c>
      <c r="J131" t="s">
        <v>176</v>
      </c>
    </row>
    <row r="132" spans="4:10" x14ac:dyDescent="0.35">
      <c r="D132" t="s">
        <v>21</v>
      </c>
      <c r="E132" t="s">
        <v>66</v>
      </c>
      <c r="F132">
        <v>120</v>
      </c>
      <c r="G132">
        <v>100</v>
      </c>
      <c r="H132">
        <v>20</v>
      </c>
      <c r="I132" t="s">
        <v>61</v>
      </c>
      <c r="J132" t="s">
        <v>62</v>
      </c>
    </row>
    <row r="133" spans="4:10" x14ac:dyDescent="0.35">
      <c r="D133" t="s">
        <v>21</v>
      </c>
      <c r="E133" t="s">
        <v>69</v>
      </c>
      <c r="F133">
        <v>120</v>
      </c>
      <c r="G133">
        <v>106</v>
      </c>
      <c r="H133">
        <v>14</v>
      </c>
      <c r="I133" t="s">
        <v>171</v>
      </c>
      <c r="J133" t="s">
        <v>172</v>
      </c>
    </row>
    <row r="134" spans="4:10" x14ac:dyDescent="0.35">
      <c r="D134" t="s">
        <v>21</v>
      </c>
      <c r="E134" t="s">
        <v>72</v>
      </c>
      <c r="F134">
        <v>396</v>
      </c>
      <c r="G134">
        <v>330</v>
      </c>
      <c r="H134">
        <v>66</v>
      </c>
      <c r="I134" t="s">
        <v>61</v>
      </c>
      <c r="J134" t="s">
        <v>62</v>
      </c>
    </row>
    <row r="135" spans="4:10" x14ac:dyDescent="0.35">
      <c r="D135" t="s">
        <v>21</v>
      </c>
      <c r="E135" t="s">
        <v>75</v>
      </c>
      <c r="F135">
        <v>120</v>
      </c>
      <c r="G135">
        <v>101</v>
      </c>
      <c r="H135">
        <v>19</v>
      </c>
      <c r="I135" t="s">
        <v>76</v>
      </c>
      <c r="J135" t="s">
        <v>77</v>
      </c>
    </row>
    <row r="136" spans="4:10" x14ac:dyDescent="0.35">
      <c r="D136" t="s">
        <v>21</v>
      </c>
      <c r="E136" t="s">
        <v>78</v>
      </c>
      <c r="F136">
        <v>120</v>
      </c>
      <c r="G136">
        <v>106</v>
      </c>
      <c r="H136">
        <v>14</v>
      </c>
      <c r="I136" t="s">
        <v>171</v>
      </c>
      <c r="J136" t="s">
        <v>172</v>
      </c>
    </row>
    <row r="137" spans="4:10" x14ac:dyDescent="0.35">
      <c r="D137" t="s">
        <v>21</v>
      </c>
      <c r="E137" t="s">
        <v>79</v>
      </c>
      <c r="F137">
        <v>120</v>
      </c>
      <c r="G137">
        <v>105</v>
      </c>
      <c r="H137">
        <v>15</v>
      </c>
      <c r="I137" t="s">
        <v>161</v>
      </c>
      <c r="J137" t="s">
        <v>162</v>
      </c>
    </row>
    <row r="138" spans="4:10" x14ac:dyDescent="0.35">
      <c r="D138" t="s">
        <v>21</v>
      </c>
      <c r="E138" t="s">
        <v>82</v>
      </c>
      <c r="F138">
        <v>360</v>
      </c>
      <c r="G138">
        <v>306</v>
      </c>
      <c r="H138">
        <v>54</v>
      </c>
      <c r="I138" t="s">
        <v>102</v>
      </c>
      <c r="J138" t="s">
        <v>103</v>
      </c>
    </row>
    <row r="139" spans="4:10" x14ac:dyDescent="0.35">
      <c r="D139" t="s">
        <v>21</v>
      </c>
      <c r="E139" t="s">
        <v>85</v>
      </c>
      <c r="F139">
        <v>240</v>
      </c>
      <c r="G139">
        <v>208</v>
      </c>
      <c r="H139">
        <v>32</v>
      </c>
      <c r="I139" t="s">
        <v>90</v>
      </c>
      <c r="J139" t="s">
        <v>91</v>
      </c>
    </row>
    <row r="140" spans="4:10" x14ac:dyDescent="0.35">
      <c r="D140" t="s">
        <v>21</v>
      </c>
      <c r="E140" t="s">
        <v>88</v>
      </c>
      <c r="F140">
        <v>120</v>
      </c>
      <c r="G140">
        <v>103</v>
      </c>
      <c r="H140">
        <v>17</v>
      </c>
      <c r="I140" t="s">
        <v>163</v>
      </c>
      <c r="J140" t="s">
        <v>164</v>
      </c>
    </row>
    <row r="141" spans="4:10" x14ac:dyDescent="0.35">
      <c r="D141" t="s">
        <v>21</v>
      </c>
      <c r="E141" t="s">
        <v>89</v>
      </c>
      <c r="F141">
        <v>120</v>
      </c>
      <c r="G141">
        <v>104</v>
      </c>
      <c r="H141">
        <v>16</v>
      </c>
      <c r="I141" t="s">
        <v>90</v>
      </c>
      <c r="J141" t="s">
        <v>91</v>
      </c>
    </row>
    <row r="142" spans="4:10" x14ac:dyDescent="0.35">
      <c r="D142" t="s">
        <v>21</v>
      </c>
      <c r="E142" t="s">
        <v>92</v>
      </c>
      <c r="F142">
        <v>120</v>
      </c>
      <c r="G142">
        <v>103</v>
      </c>
      <c r="H142">
        <v>17</v>
      </c>
      <c r="I142" t="s">
        <v>163</v>
      </c>
      <c r="J142" t="s">
        <v>164</v>
      </c>
    </row>
    <row r="143" spans="4:10" x14ac:dyDescent="0.35">
      <c r="D143" t="s">
        <v>21</v>
      </c>
      <c r="E143" t="s">
        <v>95</v>
      </c>
      <c r="F143">
        <v>360</v>
      </c>
      <c r="G143">
        <v>303</v>
      </c>
      <c r="H143">
        <v>57</v>
      </c>
      <c r="I143" t="s">
        <v>76</v>
      </c>
      <c r="J143" t="s">
        <v>77</v>
      </c>
    </row>
    <row r="144" spans="4:10" x14ac:dyDescent="0.35">
      <c r="D144" t="s">
        <v>21</v>
      </c>
      <c r="E144" t="s">
        <v>98</v>
      </c>
      <c r="F144">
        <v>120</v>
      </c>
      <c r="G144">
        <v>100</v>
      </c>
      <c r="H144">
        <v>20</v>
      </c>
      <c r="I144" t="s">
        <v>61</v>
      </c>
      <c r="J144" t="s">
        <v>62</v>
      </c>
    </row>
    <row r="145" spans="4:10" x14ac:dyDescent="0.35">
      <c r="D145" t="s">
        <v>21</v>
      </c>
      <c r="E145" t="s">
        <v>101</v>
      </c>
      <c r="F145">
        <v>120</v>
      </c>
      <c r="G145">
        <v>102</v>
      </c>
      <c r="H145">
        <v>18</v>
      </c>
      <c r="I145" t="s">
        <v>102</v>
      </c>
      <c r="J145" t="s">
        <v>103</v>
      </c>
    </row>
    <row r="146" spans="4:10" x14ac:dyDescent="0.35">
      <c r="D146" t="s">
        <v>21</v>
      </c>
      <c r="E146" t="s">
        <v>104</v>
      </c>
      <c r="F146">
        <v>480</v>
      </c>
      <c r="G146">
        <v>414</v>
      </c>
      <c r="H146">
        <v>66</v>
      </c>
      <c r="I146" t="s">
        <v>145</v>
      </c>
      <c r="J146" t="s">
        <v>146</v>
      </c>
    </row>
    <row r="147" spans="4:10" x14ac:dyDescent="0.35">
      <c r="D147" t="s">
        <v>21</v>
      </c>
      <c r="E147" t="s">
        <v>107</v>
      </c>
      <c r="F147">
        <v>120</v>
      </c>
      <c r="G147">
        <v>102</v>
      </c>
      <c r="H147">
        <v>18</v>
      </c>
      <c r="I147" t="s">
        <v>102</v>
      </c>
      <c r="J147" t="s">
        <v>103</v>
      </c>
    </row>
    <row r="148" spans="4:10" x14ac:dyDescent="0.35">
      <c r="D148" t="s">
        <v>21</v>
      </c>
      <c r="E148" t="s">
        <v>108</v>
      </c>
      <c r="F148">
        <v>120</v>
      </c>
      <c r="G148">
        <v>102</v>
      </c>
      <c r="H148">
        <v>18</v>
      </c>
      <c r="I148" t="s">
        <v>102</v>
      </c>
      <c r="J148" t="s">
        <v>103</v>
      </c>
    </row>
    <row r="149" spans="4:10" x14ac:dyDescent="0.35">
      <c r="D149" t="s">
        <v>21</v>
      </c>
      <c r="E149" t="s">
        <v>109</v>
      </c>
      <c r="F149">
        <v>120</v>
      </c>
      <c r="G149">
        <v>101</v>
      </c>
      <c r="H149">
        <v>19</v>
      </c>
      <c r="I149" t="s">
        <v>76</v>
      </c>
      <c r="J149" t="s">
        <v>77</v>
      </c>
    </row>
    <row r="150" spans="4:10" x14ac:dyDescent="0.35">
      <c r="D150" t="s">
        <v>21</v>
      </c>
      <c r="E150" t="s">
        <v>112</v>
      </c>
      <c r="F150">
        <v>120</v>
      </c>
      <c r="G150">
        <v>100</v>
      </c>
      <c r="H150">
        <v>20</v>
      </c>
      <c r="I150" t="s">
        <v>61</v>
      </c>
      <c r="J150" t="s">
        <v>62</v>
      </c>
    </row>
    <row r="151" spans="4:10" x14ac:dyDescent="0.35">
      <c r="D151" t="s">
        <v>21</v>
      </c>
      <c r="E151" t="s">
        <v>113</v>
      </c>
      <c r="F151">
        <v>120</v>
      </c>
      <c r="G151">
        <v>104</v>
      </c>
      <c r="H151">
        <v>16</v>
      </c>
      <c r="I151" t="s">
        <v>90</v>
      </c>
      <c r="J151" t="s">
        <v>91</v>
      </c>
    </row>
    <row r="152" spans="4:10" x14ac:dyDescent="0.35">
      <c r="D152" t="s">
        <v>21</v>
      </c>
      <c r="E152" t="s">
        <v>114</v>
      </c>
      <c r="F152">
        <v>120</v>
      </c>
      <c r="G152">
        <v>100</v>
      </c>
      <c r="H152">
        <v>20</v>
      </c>
      <c r="I152" t="s">
        <v>61</v>
      </c>
      <c r="J152" t="s">
        <v>62</v>
      </c>
    </row>
    <row r="153" spans="4:10" x14ac:dyDescent="0.35">
      <c r="D153" t="s">
        <v>21</v>
      </c>
      <c r="E153" t="s">
        <v>117</v>
      </c>
      <c r="F153">
        <v>120</v>
      </c>
      <c r="G153">
        <v>106</v>
      </c>
      <c r="H153">
        <v>14</v>
      </c>
      <c r="I153" t="s">
        <v>171</v>
      </c>
      <c r="J153" t="s">
        <v>172</v>
      </c>
    </row>
    <row r="154" spans="4:10" x14ac:dyDescent="0.35">
      <c r="D154" t="s">
        <v>21</v>
      </c>
      <c r="E154" t="s">
        <v>120</v>
      </c>
      <c r="F154">
        <v>120</v>
      </c>
      <c r="G154">
        <v>100</v>
      </c>
      <c r="H154">
        <v>20</v>
      </c>
      <c r="I154" t="s">
        <v>61</v>
      </c>
      <c r="J154" t="s">
        <v>62</v>
      </c>
    </row>
    <row r="155" spans="4:10" x14ac:dyDescent="0.35">
      <c r="D155" t="s">
        <v>21</v>
      </c>
      <c r="E155" t="s">
        <v>123</v>
      </c>
      <c r="F155">
        <v>120</v>
      </c>
      <c r="G155">
        <v>104</v>
      </c>
      <c r="H155">
        <v>16</v>
      </c>
      <c r="I155" t="s">
        <v>90</v>
      </c>
      <c r="J155" t="s">
        <v>91</v>
      </c>
    </row>
    <row r="156" spans="4:10" x14ac:dyDescent="0.35">
      <c r="D156" t="s">
        <v>21</v>
      </c>
      <c r="E156" t="s">
        <v>126</v>
      </c>
      <c r="F156">
        <v>600</v>
      </c>
      <c r="G156">
        <v>505</v>
      </c>
      <c r="H156">
        <v>95</v>
      </c>
      <c r="I156" t="s">
        <v>76</v>
      </c>
      <c r="J156" t="s">
        <v>77</v>
      </c>
    </row>
    <row r="157" spans="4:10" x14ac:dyDescent="0.35">
      <c r="D157" t="s">
        <v>21</v>
      </c>
      <c r="E157" t="s">
        <v>129</v>
      </c>
      <c r="F157">
        <v>120</v>
      </c>
      <c r="G157">
        <v>106</v>
      </c>
      <c r="H157">
        <v>14</v>
      </c>
      <c r="I157" t="s">
        <v>171</v>
      </c>
      <c r="J157" t="s">
        <v>172</v>
      </c>
    </row>
    <row r="158" spans="4:10" x14ac:dyDescent="0.35">
      <c r="D158" t="s">
        <v>21</v>
      </c>
      <c r="E158" t="s">
        <v>130</v>
      </c>
      <c r="F158">
        <v>120</v>
      </c>
      <c r="G158">
        <v>103</v>
      </c>
      <c r="H158">
        <v>17</v>
      </c>
      <c r="I158" t="s">
        <v>163</v>
      </c>
      <c r="J158" t="s">
        <v>164</v>
      </c>
    </row>
    <row r="159" spans="4:10" x14ac:dyDescent="0.35">
      <c r="D159" t="s">
        <v>21</v>
      </c>
      <c r="E159" t="s">
        <v>131</v>
      </c>
      <c r="F159">
        <v>120</v>
      </c>
      <c r="G159">
        <v>101</v>
      </c>
      <c r="H159">
        <v>19</v>
      </c>
      <c r="I159" t="s">
        <v>76</v>
      </c>
      <c r="J159" t="s">
        <v>77</v>
      </c>
    </row>
    <row r="160" spans="4:10" x14ac:dyDescent="0.35">
      <c r="D160" t="s">
        <v>21</v>
      </c>
      <c r="E160" t="s">
        <v>132</v>
      </c>
      <c r="F160">
        <v>360</v>
      </c>
      <c r="G160">
        <v>304</v>
      </c>
      <c r="H160">
        <v>56</v>
      </c>
      <c r="I160" t="s">
        <v>177</v>
      </c>
      <c r="J160" t="s">
        <v>178</v>
      </c>
    </row>
    <row r="161" spans="4:10" x14ac:dyDescent="0.35">
      <c r="D161" t="s">
        <v>21</v>
      </c>
      <c r="E161" t="s">
        <v>135</v>
      </c>
      <c r="F161">
        <v>240</v>
      </c>
      <c r="G161">
        <v>205</v>
      </c>
      <c r="H161">
        <v>35</v>
      </c>
      <c r="I161" t="s">
        <v>159</v>
      </c>
      <c r="J161" t="s">
        <v>160</v>
      </c>
    </row>
    <row r="162" spans="4:10" x14ac:dyDescent="0.35">
      <c r="D162" t="s">
        <v>21</v>
      </c>
      <c r="E162" t="s">
        <v>25</v>
      </c>
      <c r="F162">
        <v>120</v>
      </c>
      <c r="G162">
        <v>105</v>
      </c>
      <c r="H162">
        <v>15</v>
      </c>
      <c r="I162" t="s">
        <v>161</v>
      </c>
      <c r="J162" t="s">
        <v>162</v>
      </c>
    </row>
    <row r="163" spans="4:10" x14ac:dyDescent="0.35">
      <c r="D163" t="s">
        <v>21</v>
      </c>
      <c r="E163" t="s">
        <v>138</v>
      </c>
      <c r="F163">
        <v>120</v>
      </c>
      <c r="G163">
        <v>100</v>
      </c>
      <c r="H163">
        <v>20</v>
      </c>
      <c r="I163" t="s">
        <v>61</v>
      </c>
      <c r="J163" t="s">
        <v>62</v>
      </c>
    </row>
    <row r="164" spans="4:10" x14ac:dyDescent="0.35">
      <c r="D164" t="s">
        <v>21</v>
      </c>
      <c r="E164" t="s">
        <v>139</v>
      </c>
      <c r="F164">
        <v>120</v>
      </c>
      <c r="G164">
        <v>100</v>
      </c>
      <c r="H164">
        <v>20</v>
      </c>
      <c r="I164" t="s">
        <v>61</v>
      </c>
      <c r="J164" t="s">
        <v>62</v>
      </c>
    </row>
    <row r="165" spans="4:10" x14ac:dyDescent="0.35">
      <c r="D165" t="s">
        <v>21</v>
      </c>
      <c r="E165" t="s">
        <v>140</v>
      </c>
      <c r="F165">
        <v>120</v>
      </c>
      <c r="G165">
        <v>104</v>
      </c>
      <c r="H165">
        <v>16</v>
      </c>
      <c r="I165" t="s">
        <v>90</v>
      </c>
      <c r="J165" t="s">
        <v>91</v>
      </c>
    </row>
    <row r="166" spans="4:10" x14ac:dyDescent="0.35">
      <c r="D166" t="s">
        <v>21</v>
      </c>
      <c r="E166" t="s">
        <v>141</v>
      </c>
      <c r="F166">
        <v>120</v>
      </c>
      <c r="G166">
        <v>100</v>
      </c>
      <c r="H166">
        <v>20</v>
      </c>
      <c r="I166" t="s">
        <v>61</v>
      </c>
      <c r="J166" t="s">
        <v>62</v>
      </c>
    </row>
    <row r="167" spans="4:10" x14ac:dyDescent="0.35">
      <c r="D167" t="s">
        <v>21</v>
      </c>
      <c r="E167" t="s">
        <v>142</v>
      </c>
      <c r="F167">
        <v>120</v>
      </c>
      <c r="G167">
        <v>107</v>
      </c>
      <c r="H167">
        <v>13</v>
      </c>
      <c r="I167" t="s">
        <v>167</v>
      </c>
      <c r="J167" t="s">
        <v>168</v>
      </c>
    </row>
    <row r="168" spans="4:10" x14ac:dyDescent="0.35">
      <c r="D168" t="s">
        <v>21</v>
      </c>
      <c r="E168" t="s">
        <v>143</v>
      </c>
      <c r="F168">
        <v>120</v>
      </c>
      <c r="G168">
        <v>106</v>
      </c>
      <c r="H168">
        <v>14</v>
      </c>
      <c r="I168" t="s">
        <v>171</v>
      </c>
      <c r="J168" t="s">
        <v>172</v>
      </c>
    </row>
    <row r="169" spans="4:10" x14ac:dyDescent="0.35">
      <c r="D169" t="s">
        <v>21</v>
      </c>
      <c r="E169" t="s">
        <v>144</v>
      </c>
      <c r="F169">
        <v>120</v>
      </c>
      <c r="G169">
        <v>100</v>
      </c>
      <c r="H169">
        <v>20</v>
      </c>
      <c r="I169" t="s">
        <v>61</v>
      </c>
      <c r="J169" t="s">
        <v>62</v>
      </c>
    </row>
    <row r="170" spans="4:10" x14ac:dyDescent="0.35">
      <c r="D170" t="s">
        <v>21</v>
      </c>
      <c r="E170" t="s">
        <v>147</v>
      </c>
      <c r="F170">
        <v>120</v>
      </c>
      <c r="G170">
        <v>100</v>
      </c>
      <c r="H170">
        <v>20</v>
      </c>
      <c r="I170" t="s">
        <v>61</v>
      </c>
      <c r="J170" t="s">
        <v>62</v>
      </c>
    </row>
    <row r="171" spans="4:10" x14ac:dyDescent="0.35">
      <c r="D171" t="s">
        <v>21</v>
      </c>
      <c r="E171" t="s">
        <v>148</v>
      </c>
      <c r="F171">
        <v>606</v>
      </c>
      <c r="G171">
        <v>504</v>
      </c>
      <c r="H171">
        <v>102</v>
      </c>
      <c r="I171" t="s">
        <v>179</v>
      </c>
      <c r="J171" t="s">
        <v>180</v>
      </c>
    </row>
    <row r="172" spans="4:10" x14ac:dyDescent="0.35">
      <c r="D172" t="s">
        <v>21</v>
      </c>
      <c r="E172" t="s">
        <v>151</v>
      </c>
      <c r="F172">
        <v>120</v>
      </c>
      <c r="G172">
        <v>104</v>
      </c>
      <c r="H172">
        <v>16</v>
      </c>
      <c r="I172" t="s">
        <v>90</v>
      </c>
      <c r="J172" t="s">
        <v>91</v>
      </c>
    </row>
    <row r="173" spans="4:10" x14ac:dyDescent="0.35">
      <c r="D173" t="s">
        <v>21</v>
      </c>
      <c r="E173" t="s">
        <v>152</v>
      </c>
      <c r="F173">
        <v>120</v>
      </c>
      <c r="G173">
        <v>101</v>
      </c>
      <c r="H173">
        <v>19</v>
      </c>
      <c r="I173" t="s">
        <v>76</v>
      </c>
      <c r="J173" t="s">
        <v>77</v>
      </c>
    </row>
    <row r="174" spans="4:10" x14ac:dyDescent="0.35">
      <c r="D174" t="s">
        <v>21</v>
      </c>
      <c r="E174" t="s">
        <v>153</v>
      </c>
      <c r="F174">
        <v>360</v>
      </c>
      <c r="G174">
        <v>305</v>
      </c>
      <c r="H174">
        <v>55</v>
      </c>
      <c r="I174" t="s">
        <v>133</v>
      </c>
      <c r="J174" t="s">
        <v>134</v>
      </c>
    </row>
    <row r="175" spans="4:10" x14ac:dyDescent="0.35">
      <c r="D175" t="s">
        <v>21</v>
      </c>
      <c r="E175" t="s">
        <v>156</v>
      </c>
      <c r="F175">
        <v>120</v>
      </c>
      <c r="G175">
        <v>102</v>
      </c>
      <c r="H175">
        <v>18</v>
      </c>
      <c r="I175" t="s">
        <v>102</v>
      </c>
      <c r="J175" t="s">
        <v>103</v>
      </c>
    </row>
    <row r="176" spans="4:10" x14ac:dyDescent="0.35">
      <c r="D176" t="s">
        <v>21</v>
      </c>
      <c r="E176" t="s">
        <v>157</v>
      </c>
      <c r="F176">
        <v>360</v>
      </c>
      <c r="G176">
        <v>311</v>
      </c>
      <c r="H176">
        <v>49</v>
      </c>
      <c r="I176" t="s">
        <v>124</v>
      </c>
      <c r="J176" t="s">
        <v>125</v>
      </c>
    </row>
    <row r="177" spans="4:10" x14ac:dyDescent="0.35">
      <c r="D177" t="s">
        <v>21</v>
      </c>
      <c r="E177" t="s">
        <v>158</v>
      </c>
      <c r="F177">
        <v>240</v>
      </c>
      <c r="G177">
        <v>206</v>
      </c>
      <c r="H177">
        <v>34</v>
      </c>
      <c r="I177" t="s">
        <v>163</v>
      </c>
      <c r="J177" t="s">
        <v>164</v>
      </c>
    </row>
    <row r="178" spans="4:10" x14ac:dyDescent="0.35">
      <c r="D178" t="s">
        <v>22</v>
      </c>
      <c r="E178" t="s">
        <v>57</v>
      </c>
      <c r="F178">
        <v>120</v>
      </c>
      <c r="G178">
        <v>101</v>
      </c>
      <c r="H178">
        <v>19</v>
      </c>
      <c r="I178" t="s">
        <v>76</v>
      </c>
      <c r="J178" t="s">
        <v>77</v>
      </c>
    </row>
    <row r="179" spans="4:10" x14ac:dyDescent="0.35">
      <c r="D179" t="s">
        <v>22</v>
      </c>
      <c r="E179" t="s">
        <v>60</v>
      </c>
      <c r="F179">
        <v>120</v>
      </c>
      <c r="G179">
        <v>100</v>
      </c>
      <c r="H179">
        <v>20</v>
      </c>
      <c r="I179" t="s">
        <v>61</v>
      </c>
      <c r="J179" t="s">
        <v>62</v>
      </c>
    </row>
    <row r="180" spans="4:10" x14ac:dyDescent="0.35">
      <c r="D180" t="s">
        <v>22</v>
      </c>
      <c r="E180" t="s">
        <v>63</v>
      </c>
      <c r="F180">
        <v>720</v>
      </c>
      <c r="G180">
        <v>607</v>
      </c>
      <c r="H180">
        <v>113</v>
      </c>
      <c r="I180" t="s">
        <v>110</v>
      </c>
      <c r="J180" t="s">
        <v>111</v>
      </c>
    </row>
    <row r="181" spans="4:10" x14ac:dyDescent="0.35">
      <c r="D181" t="s">
        <v>22</v>
      </c>
      <c r="E181" t="s">
        <v>66</v>
      </c>
      <c r="F181">
        <v>120</v>
      </c>
      <c r="G181">
        <v>101</v>
      </c>
      <c r="H181">
        <v>19</v>
      </c>
      <c r="I181" t="s">
        <v>76</v>
      </c>
      <c r="J181" t="s">
        <v>77</v>
      </c>
    </row>
    <row r="182" spans="4:10" x14ac:dyDescent="0.35">
      <c r="D182" t="s">
        <v>22</v>
      </c>
      <c r="E182" t="s">
        <v>69</v>
      </c>
      <c r="F182">
        <v>120</v>
      </c>
      <c r="G182">
        <v>105</v>
      </c>
      <c r="H182">
        <v>15</v>
      </c>
      <c r="I182" t="s">
        <v>161</v>
      </c>
      <c r="J182" t="s">
        <v>162</v>
      </c>
    </row>
    <row r="183" spans="4:10" x14ac:dyDescent="0.35">
      <c r="D183" t="s">
        <v>22</v>
      </c>
      <c r="E183" t="s">
        <v>72</v>
      </c>
      <c r="F183">
        <v>396</v>
      </c>
      <c r="G183">
        <v>331</v>
      </c>
      <c r="H183">
        <v>65</v>
      </c>
      <c r="I183" t="s">
        <v>181</v>
      </c>
      <c r="J183" t="s">
        <v>182</v>
      </c>
    </row>
    <row r="184" spans="4:10" x14ac:dyDescent="0.35">
      <c r="D184" t="s">
        <v>22</v>
      </c>
      <c r="E184" t="s">
        <v>75</v>
      </c>
      <c r="F184">
        <v>120</v>
      </c>
      <c r="G184">
        <v>101</v>
      </c>
      <c r="H184">
        <v>19</v>
      </c>
      <c r="I184" t="s">
        <v>76</v>
      </c>
      <c r="J184" t="s">
        <v>77</v>
      </c>
    </row>
    <row r="185" spans="4:10" x14ac:dyDescent="0.35">
      <c r="D185" t="s">
        <v>22</v>
      </c>
      <c r="E185" t="s">
        <v>78</v>
      </c>
      <c r="F185">
        <v>120</v>
      </c>
      <c r="G185">
        <v>105</v>
      </c>
      <c r="H185">
        <v>15</v>
      </c>
      <c r="I185" t="s">
        <v>161</v>
      </c>
      <c r="J185" t="s">
        <v>162</v>
      </c>
    </row>
    <row r="186" spans="4:10" x14ac:dyDescent="0.35">
      <c r="D186" t="s">
        <v>22</v>
      </c>
      <c r="E186" t="s">
        <v>79</v>
      </c>
      <c r="F186">
        <v>120</v>
      </c>
      <c r="G186">
        <v>102</v>
      </c>
      <c r="H186">
        <v>18</v>
      </c>
      <c r="I186" t="s">
        <v>102</v>
      </c>
      <c r="J186" t="s">
        <v>103</v>
      </c>
    </row>
    <row r="187" spans="4:10" x14ac:dyDescent="0.35">
      <c r="D187" t="s">
        <v>22</v>
      </c>
      <c r="E187" t="s">
        <v>82</v>
      </c>
      <c r="F187">
        <v>360</v>
      </c>
      <c r="G187">
        <v>300</v>
      </c>
      <c r="H187">
        <v>60</v>
      </c>
      <c r="I187" t="s">
        <v>61</v>
      </c>
      <c r="J187" t="s">
        <v>62</v>
      </c>
    </row>
    <row r="188" spans="4:10" x14ac:dyDescent="0.35">
      <c r="D188" t="s">
        <v>22</v>
      </c>
      <c r="E188" t="s">
        <v>85</v>
      </c>
      <c r="F188">
        <v>240</v>
      </c>
      <c r="G188">
        <v>202</v>
      </c>
      <c r="H188">
        <v>38</v>
      </c>
      <c r="I188" t="s">
        <v>76</v>
      </c>
      <c r="J188" t="s">
        <v>77</v>
      </c>
    </row>
    <row r="189" spans="4:10" x14ac:dyDescent="0.35">
      <c r="D189" t="s">
        <v>22</v>
      </c>
      <c r="E189" t="s">
        <v>88</v>
      </c>
      <c r="F189">
        <v>120</v>
      </c>
      <c r="G189">
        <v>102</v>
      </c>
      <c r="H189">
        <v>18</v>
      </c>
      <c r="I189" t="s">
        <v>102</v>
      </c>
      <c r="J189" t="s">
        <v>103</v>
      </c>
    </row>
    <row r="190" spans="4:10" x14ac:dyDescent="0.35">
      <c r="D190" t="s">
        <v>22</v>
      </c>
      <c r="E190" t="s">
        <v>89</v>
      </c>
      <c r="F190">
        <v>120</v>
      </c>
      <c r="G190">
        <v>100</v>
      </c>
      <c r="H190">
        <v>20</v>
      </c>
      <c r="I190" t="s">
        <v>61</v>
      </c>
      <c r="J190" t="s">
        <v>62</v>
      </c>
    </row>
    <row r="191" spans="4:10" x14ac:dyDescent="0.35">
      <c r="D191" t="s">
        <v>22</v>
      </c>
      <c r="E191" t="s">
        <v>92</v>
      </c>
      <c r="F191">
        <v>120</v>
      </c>
      <c r="G191">
        <v>104</v>
      </c>
      <c r="H191">
        <v>16</v>
      </c>
      <c r="I191" t="s">
        <v>90</v>
      </c>
      <c r="J191" t="s">
        <v>91</v>
      </c>
    </row>
    <row r="192" spans="4:10" x14ac:dyDescent="0.35">
      <c r="D192" t="s">
        <v>22</v>
      </c>
      <c r="E192" t="s">
        <v>95</v>
      </c>
      <c r="F192">
        <v>360</v>
      </c>
      <c r="G192">
        <v>306</v>
      </c>
      <c r="H192">
        <v>54</v>
      </c>
      <c r="I192" t="s">
        <v>102</v>
      </c>
      <c r="J192" t="s">
        <v>103</v>
      </c>
    </row>
    <row r="193" spans="4:10" x14ac:dyDescent="0.35">
      <c r="D193" t="s">
        <v>22</v>
      </c>
      <c r="E193" t="s">
        <v>98</v>
      </c>
      <c r="F193">
        <v>120</v>
      </c>
      <c r="G193">
        <v>101</v>
      </c>
      <c r="H193">
        <v>19</v>
      </c>
      <c r="I193" t="s">
        <v>76</v>
      </c>
      <c r="J193" t="s">
        <v>77</v>
      </c>
    </row>
    <row r="194" spans="4:10" x14ac:dyDescent="0.35">
      <c r="D194" t="s">
        <v>22</v>
      </c>
      <c r="E194" t="s">
        <v>101</v>
      </c>
      <c r="F194">
        <v>120</v>
      </c>
      <c r="G194">
        <v>103</v>
      </c>
      <c r="H194">
        <v>17</v>
      </c>
      <c r="I194" t="s">
        <v>163</v>
      </c>
      <c r="J194" t="s">
        <v>164</v>
      </c>
    </row>
    <row r="195" spans="4:10" x14ac:dyDescent="0.35">
      <c r="D195" t="s">
        <v>22</v>
      </c>
      <c r="E195" t="s">
        <v>104</v>
      </c>
      <c r="F195">
        <v>480</v>
      </c>
      <c r="G195">
        <v>415</v>
      </c>
      <c r="H195">
        <v>65</v>
      </c>
      <c r="I195" t="s">
        <v>183</v>
      </c>
      <c r="J195" t="s">
        <v>184</v>
      </c>
    </row>
    <row r="196" spans="4:10" x14ac:dyDescent="0.35">
      <c r="D196" t="s">
        <v>22</v>
      </c>
      <c r="E196" t="s">
        <v>107</v>
      </c>
      <c r="F196">
        <v>120</v>
      </c>
      <c r="G196">
        <v>104</v>
      </c>
      <c r="H196">
        <v>16</v>
      </c>
      <c r="I196" t="s">
        <v>90</v>
      </c>
      <c r="J196" t="s">
        <v>91</v>
      </c>
    </row>
    <row r="197" spans="4:10" x14ac:dyDescent="0.35">
      <c r="D197" t="s">
        <v>22</v>
      </c>
      <c r="E197" t="s">
        <v>108</v>
      </c>
      <c r="F197">
        <v>120</v>
      </c>
      <c r="G197">
        <v>103</v>
      </c>
      <c r="H197">
        <v>17</v>
      </c>
      <c r="I197" t="s">
        <v>163</v>
      </c>
      <c r="J197" t="s">
        <v>164</v>
      </c>
    </row>
    <row r="198" spans="4:10" x14ac:dyDescent="0.35">
      <c r="D198" t="s">
        <v>22</v>
      </c>
      <c r="E198" t="s">
        <v>109</v>
      </c>
      <c r="F198">
        <v>120</v>
      </c>
      <c r="G198">
        <v>100</v>
      </c>
      <c r="H198">
        <v>20</v>
      </c>
      <c r="I198" t="s">
        <v>61</v>
      </c>
      <c r="J198" t="s">
        <v>62</v>
      </c>
    </row>
    <row r="199" spans="4:10" x14ac:dyDescent="0.35">
      <c r="D199" t="s">
        <v>22</v>
      </c>
      <c r="E199" t="s">
        <v>112</v>
      </c>
      <c r="F199">
        <v>120</v>
      </c>
      <c r="G199">
        <v>101</v>
      </c>
      <c r="H199">
        <v>19</v>
      </c>
      <c r="I199" t="s">
        <v>76</v>
      </c>
      <c r="J199" t="s">
        <v>77</v>
      </c>
    </row>
    <row r="200" spans="4:10" x14ac:dyDescent="0.35">
      <c r="D200" t="s">
        <v>22</v>
      </c>
      <c r="E200" t="s">
        <v>113</v>
      </c>
      <c r="F200">
        <v>120</v>
      </c>
      <c r="G200">
        <v>102</v>
      </c>
      <c r="H200">
        <v>18</v>
      </c>
      <c r="I200" t="s">
        <v>102</v>
      </c>
      <c r="J200" t="s">
        <v>103</v>
      </c>
    </row>
    <row r="201" spans="4:10" x14ac:dyDescent="0.35">
      <c r="D201" t="s">
        <v>22</v>
      </c>
      <c r="E201" t="s">
        <v>114</v>
      </c>
      <c r="F201">
        <v>120</v>
      </c>
      <c r="G201">
        <v>100</v>
      </c>
      <c r="H201">
        <v>20</v>
      </c>
      <c r="I201" t="s">
        <v>61</v>
      </c>
      <c r="J201" t="s">
        <v>62</v>
      </c>
    </row>
    <row r="202" spans="4:10" x14ac:dyDescent="0.35">
      <c r="D202" t="s">
        <v>22</v>
      </c>
      <c r="E202" t="s">
        <v>117</v>
      </c>
      <c r="F202">
        <v>120</v>
      </c>
      <c r="G202">
        <v>100</v>
      </c>
      <c r="H202">
        <v>20</v>
      </c>
      <c r="I202" t="s">
        <v>61</v>
      </c>
      <c r="J202" t="s">
        <v>62</v>
      </c>
    </row>
    <row r="203" spans="4:10" x14ac:dyDescent="0.35">
      <c r="D203" t="s">
        <v>22</v>
      </c>
      <c r="E203" t="s">
        <v>120</v>
      </c>
      <c r="F203">
        <v>120</v>
      </c>
      <c r="G203">
        <v>101</v>
      </c>
      <c r="H203">
        <v>19</v>
      </c>
      <c r="I203" t="s">
        <v>76</v>
      </c>
      <c r="J203" t="s">
        <v>77</v>
      </c>
    </row>
    <row r="204" spans="4:10" x14ac:dyDescent="0.35">
      <c r="D204" t="s">
        <v>22</v>
      </c>
      <c r="E204" t="s">
        <v>123</v>
      </c>
      <c r="F204">
        <v>120</v>
      </c>
      <c r="G204">
        <v>106</v>
      </c>
      <c r="H204">
        <v>14</v>
      </c>
      <c r="I204" t="s">
        <v>171</v>
      </c>
      <c r="J204" t="s">
        <v>172</v>
      </c>
    </row>
    <row r="205" spans="4:10" x14ac:dyDescent="0.35">
      <c r="D205" t="s">
        <v>22</v>
      </c>
      <c r="E205" t="s">
        <v>126</v>
      </c>
      <c r="F205">
        <v>600</v>
      </c>
      <c r="G205">
        <v>503</v>
      </c>
      <c r="H205">
        <v>97</v>
      </c>
      <c r="I205" t="s">
        <v>185</v>
      </c>
      <c r="J205" t="s">
        <v>186</v>
      </c>
    </row>
    <row r="206" spans="4:10" x14ac:dyDescent="0.35">
      <c r="D206" t="s">
        <v>22</v>
      </c>
      <c r="E206" t="s">
        <v>129</v>
      </c>
      <c r="F206">
        <v>120</v>
      </c>
      <c r="G206">
        <v>101</v>
      </c>
      <c r="H206">
        <v>19</v>
      </c>
      <c r="I206" t="s">
        <v>76</v>
      </c>
      <c r="J206" t="s">
        <v>77</v>
      </c>
    </row>
    <row r="207" spans="4:10" x14ac:dyDescent="0.35">
      <c r="D207" t="s">
        <v>22</v>
      </c>
      <c r="E207" t="s">
        <v>130</v>
      </c>
      <c r="F207">
        <v>120</v>
      </c>
      <c r="G207">
        <v>104</v>
      </c>
      <c r="H207">
        <v>16</v>
      </c>
      <c r="I207" t="s">
        <v>90</v>
      </c>
      <c r="J207" t="s">
        <v>91</v>
      </c>
    </row>
    <row r="208" spans="4:10" x14ac:dyDescent="0.35">
      <c r="D208" t="s">
        <v>22</v>
      </c>
      <c r="E208" t="s">
        <v>131</v>
      </c>
      <c r="F208">
        <v>120</v>
      </c>
      <c r="G208">
        <v>104</v>
      </c>
      <c r="H208">
        <v>16</v>
      </c>
      <c r="I208" t="s">
        <v>90</v>
      </c>
      <c r="J208" t="s">
        <v>91</v>
      </c>
    </row>
    <row r="209" spans="4:10" x14ac:dyDescent="0.35">
      <c r="D209" t="s">
        <v>22</v>
      </c>
      <c r="E209" t="s">
        <v>132</v>
      </c>
      <c r="F209">
        <v>360</v>
      </c>
      <c r="G209">
        <v>308</v>
      </c>
      <c r="H209">
        <v>52</v>
      </c>
      <c r="I209" t="s">
        <v>58</v>
      </c>
      <c r="J209" t="s">
        <v>59</v>
      </c>
    </row>
    <row r="210" spans="4:10" x14ac:dyDescent="0.35">
      <c r="D210" t="s">
        <v>22</v>
      </c>
      <c r="E210" t="s">
        <v>135</v>
      </c>
      <c r="F210">
        <v>240</v>
      </c>
      <c r="G210">
        <v>210</v>
      </c>
      <c r="H210">
        <v>30</v>
      </c>
      <c r="I210" t="s">
        <v>161</v>
      </c>
      <c r="J210" t="s">
        <v>162</v>
      </c>
    </row>
    <row r="211" spans="4:10" x14ac:dyDescent="0.35">
      <c r="D211" t="s">
        <v>22</v>
      </c>
      <c r="E211" t="s">
        <v>25</v>
      </c>
      <c r="F211">
        <v>120</v>
      </c>
      <c r="G211">
        <v>106</v>
      </c>
      <c r="H211">
        <v>14</v>
      </c>
      <c r="I211" t="s">
        <v>171</v>
      </c>
      <c r="J211" t="s">
        <v>172</v>
      </c>
    </row>
    <row r="212" spans="4:10" x14ac:dyDescent="0.35">
      <c r="D212" t="s">
        <v>22</v>
      </c>
      <c r="E212" t="s">
        <v>138</v>
      </c>
      <c r="F212">
        <v>120</v>
      </c>
      <c r="G212">
        <v>101</v>
      </c>
      <c r="H212">
        <v>19</v>
      </c>
      <c r="I212" t="s">
        <v>76</v>
      </c>
      <c r="J212" t="s">
        <v>77</v>
      </c>
    </row>
    <row r="213" spans="4:10" x14ac:dyDescent="0.35">
      <c r="D213" t="s">
        <v>22</v>
      </c>
      <c r="E213" t="s">
        <v>139</v>
      </c>
      <c r="F213">
        <v>120</v>
      </c>
      <c r="G213">
        <v>100</v>
      </c>
      <c r="H213">
        <v>20</v>
      </c>
      <c r="I213" t="s">
        <v>61</v>
      </c>
      <c r="J213" t="s">
        <v>62</v>
      </c>
    </row>
    <row r="214" spans="4:10" x14ac:dyDescent="0.35">
      <c r="D214" t="s">
        <v>22</v>
      </c>
      <c r="E214" t="s">
        <v>140</v>
      </c>
      <c r="F214">
        <v>120</v>
      </c>
      <c r="G214">
        <v>101</v>
      </c>
      <c r="H214">
        <v>19</v>
      </c>
      <c r="I214" t="s">
        <v>76</v>
      </c>
      <c r="J214" t="s">
        <v>77</v>
      </c>
    </row>
    <row r="215" spans="4:10" x14ac:dyDescent="0.35">
      <c r="D215" t="s">
        <v>22</v>
      </c>
      <c r="E215" t="s">
        <v>141</v>
      </c>
      <c r="F215">
        <v>120</v>
      </c>
      <c r="G215">
        <v>102</v>
      </c>
      <c r="H215">
        <v>18</v>
      </c>
      <c r="I215" t="s">
        <v>102</v>
      </c>
      <c r="J215" t="s">
        <v>103</v>
      </c>
    </row>
    <row r="216" spans="4:10" x14ac:dyDescent="0.35">
      <c r="D216" t="s">
        <v>22</v>
      </c>
      <c r="E216" t="s">
        <v>142</v>
      </c>
      <c r="F216">
        <v>120</v>
      </c>
      <c r="G216">
        <v>104</v>
      </c>
      <c r="H216">
        <v>16</v>
      </c>
      <c r="I216" t="s">
        <v>90</v>
      </c>
      <c r="J216" t="s">
        <v>91</v>
      </c>
    </row>
    <row r="217" spans="4:10" x14ac:dyDescent="0.35">
      <c r="D217" t="s">
        <v>22</v>
      </c>
      <c r="E217" t="s">
        <v>143</v>
      </c>
      <c r="F217">
        <v>120</v>
      </c>
      <c r="G217">
        <v>103</v>
      </c>
      <c r="H217">
        <v>17</v>
      </c>
      <c r="I217" t="s">
        <v>163</v>
      </c>
      <c r="J217" t="s">
        <v>164</v>
      </c>
    </row>
    <row r="218" spans="4:10" x14ac:dyDescent="0.35">
      <c r="D218" t="s">
        <v>22</v>
      </c>
      <c r="E218" t="s">
        <v>144</v>
      </c>
      <c r="F218">
        <v>120</v>
      </c>
      <c r="G218">
        <v>105</v>
      </c>
      <c r="H218">
        <v>15</v>
      </c>
      <c r="I218" t="s">
        <v>161</v>
      </c>
      <c r="J218" t="s">
        <v>162</v>
      </c>
    </row>
    <row r="219" spans="4:10" x14ac:dyDescent="0.35">
      <c r="D219" t="s">
        <v>22</v>
      </c>
      <c r="E219" t="s">
        <v>147</v>
      </c>
      <c r="F219">
        <v>120</v>
      </c>
      <c r="G219">
        <v>100</v>
      </c>
      <c r="H219">
        <v>20</v>
      </c>
      <c r="I219" t="s">
        <v>61</v>
      </c>
      <c r="J219" t="s">
        <v>62</v>
      </c>
    </row>
    <row r="220" spans="4:10" x14ac:dyDescent="0.35">
      <c r="D220" t="s">
        <v>22</v>
      </c>
      <c r="E220" t="s">
        <v>148</v>
      </c>
      <c r="F220">
        <v>606</v>
      </c>
      <c r="G220">
        <v>510</v>
      </c>
      <c r="H220">
        <v>96</v>
      </c>
      <c r="I220" t="s">
        <v>187</v>
      </c>
      <c r="J220" t="s">
        <v>188</v>
      </c>
    </row>
    <row r="221" spans="4:10" x14ac:dyDescent="0.35">
      <c r="D221" t="s">
        <v>22</v>
      </c>
      <c r="E221" t="s">
        <v>151</v>
      </c>
      <c r="F221">
        <v>120</v>
      </c>
      <c r="G221">
        <v>101</v>
      </c>
      <c r="H221">
        <v>19</v>
      </c>
      <c r="I221" t="s">
        <v>76</v>
      </c>
      <c r="J221" t="s">
        <v>77</v>
      </c>
    </row>
    <row r="222" spans="4:10" x14ac:dyDescent="0.35">
      <c r="D222" t="s">
        <v>22</v>
      </c>
      <c r="E222" t="s">
        <v>152</v>
      </c>
      <c r="F222">
        <v>120</v>
      </c>
      <c r="G222">
        <v>101</v>
      </c>
      <c r="H222">
        <v>19</v>
      </c>
      <c r="I222" t="s">
        <v>76</v>
      </c>
      <c r="J222" t="s">
        <v>77</v>
      </c>
    </row>
    <row r="223" spans="4:10" x14ac:dyDescent="0.35">
      <c r="D223" t="s">
        <v>22</v>
      </c>
      <c r="E223" t="s">
        <v>153</v>
      </c>
      <c r="F223">
        <v>360</v>
      </c>
      <c r="G223">
        <v>306</v>
      </c>
      <c r="H223">
        <v>54</v>
      </c>
      <c r="I223" t="s">
        <v>102</v>
      </c>
      <c r="J223" t="s">
        <v>103</v>
      </c>
    </row>
    <row r="224" spans="4:10" x14ac:dyDescent="0.35">
      <c r="D224" t="s">
        <v>22</v>
      </c>
      <c r="E224" t="s">
        <v>156</v>
      </c>
      <c r="F224">
        <v>120</v>
      </c>
      <c r="G224">
        <v>103</v>
      </c>
      <c r="H224">
        <v>17</v>
      </c>
      <c r="I224" t="s">
        <v>163</v>
      </c>
      <c r="J224" t="s">
        <v>164</v>
      </c>
    </row>
    <row r="225" spans="4:10" x14ac:dyDescent="0.35">
      <c r="D225" t="s">
        <v>22</v>
      </c>
      <c r="E225" t="s">
        <v>157</v>
      </c>
      <c r="F225">
        <v>360</v>
      </c>
      <c r="G225">
        <v>314</v>
      </c>
      <c r="H225">
        <v>46</v>
      </c>
      <c r="I225" t="s">
        <v>189</v>
      </c>
      <c r="J225" t="s">
        <v>190</v>
      </c>
    </row>
    <row r="226" spans="4:10" x14ac:dyDescent="0.35">
      <c r="D226" t="s">
        <v>22</v>
      </c>
      <c r="E226" t="s">
        <v>158</v>
      </c>
      <c r="F226">
        <v>240</v>
      </c>
      <c r="G226">
        <v>209</v>
      </c>
      <c r="H226">
        <v>31</v>
      </c>
      <c r="I226" t="s">
        <v>191</v>
      </c>
      <c r="J226" t="s">
        <v>192</v>
      </c>
    </row>
    <row r="227" spans="4:10" x14ac:dyDescent="0.35">
      <c r="D227" t="s">
        <v>23</v>
      </c>
      <c r="E227" t="s">
        <v>57</v>
      </c>
      <c r="F227">
        <v>120</v>
      </c>
      <c r="G227">
        <v>101</v>
      </c>
      <c r="H227">
        <v>19</v>
      </c>
      <c r="I227" t="s">
        <v>76</v>
      </c>
      <c r="J227" t="s">
        <v>77</v>
      </c>
    </row>
    <row r="228" spans="4:10" x14ac:dyDescent="0.35">
      <c r="D228" t="s">
        <v>23</v>
      </c>
      <c r="E228" t="s">
        <v>60</v>
      </c>
      <c r="F228">
        <v>120</v>
      </c>
      <c r="G228">
        <v>100</v>
      </c>
      <c r="H228">
        <v>20</v>
      </c>
      <c r="I228" t="s">
        <v>61</v>
      </c>
      <c r="J228" t="s">
        <v>62</v>
      </c>
    </row>
    <row r="229" spans="4:10" x14ac:dyDescent="0.35">
      <c r="D229" t="s">
        <v>23</v>
      </c>
      <c r="E229" t="s">
        <v>63</v>
      </c>
      <c r="F229">
        <v>720</v>
      </c>
      <c r="G229">
        <v>600</v>
      </c>
      <c r="H229">
        <v>120</v>
      </c>
      <c r="I229" t="s">
        <v>61</v>
      </c>
      <c r="J229" t="s">
        <v>62</v>
      </c>
    </row>
    <row r="230" spans="4:10" x14ac:dyDescent="0.35">
      <c r="D230" t="s">
        <v>23</v>
      </c>
      <c r="E230" t="s">
        <v>66</v>
      </c>
      <c r="F230">
        <v>120</v>
      </c>
      <c r="G230">
        <v>101</v>
      </c>
      <c r="H230">
        <v>19</v>
      </c>
      <c r="I230" t="s">
        <v>76</v>
      </c>
      <c r="J230" t="s">
        <v>77</v>
      </c>
    </row>
    <row r="231" spans="4:10" x14ac:dyDescent="0.35">
      <c r="D231" t="s">
        <v>23</v>
      </c>
      <c r="E231" t="s">
        <v>69</v>
      </c>
      <c r="F231">
        <v>120</v>
      </c>
      <c r="G231">
        <v>104</v>
      </c>
      <c r="H231">
        <v>16</v>
      </c>
      <c r="I231" t="s">
        <v>90</v>
      </c>
      <c r="J231" t="s">
        <v>91</v>
      </c>
    </row>
    <row r="232" spans="4:10" x14ac:dyDescent="0.35">
      <c r="D232" t="s">
        <v>23</v>
      </c>
      <c r="E232" t="s">
        <v>72</v>
      </c>
      <c r="F232">
        <v>396</v>
      </c>
      <c r="G232">
        <v>333</v>
      </c>
      <c r="H232">
        <v>63</v>
      </c>
      <c r="I232" t="s">
        <v>165</v>
      </c>
      <c r="J232" t="s">
        <v>166</v>
      </c>
    </row>
    <row r="233" spans="4:10" x14ac:dyDescent="0.35">
      <c r="D233" t="s">
        <v>23</v>
      </c>
      <c r="E233" t="s">
        <v>75</v>
      </c>
      <c r="F233">
        <v>120</v>
      </c>
      <c r="G233">
        <v>101</v>
      </c>
      <c r="H233">
        <v>19</v>
      </c>
      <c r="I233" t="s">
        <v>76</v>
      </c>
      <c r="J233" t="s">
        <v>77</v>
      </c>
    </row>
    <row r="234" spans="4:10" x14ac:dyDescent="0.35">
      <c r="D234" t="s">
        <v>23</v>
      </c>
      <c r="E234" t="s">
        <v>78</v>
      </c>
      <c r="F234">
        <v>120</v>
      </c>
      <c r="G234">
        <v>101</v>
      </c>
      <c r="H234">
        <v>19</v>
      </c>
      <c r="I234" t="s">
        <v>76</v>
      </c>
      <c r="J234" t="s">
        <v>77</v>
      </c>
    </row>
    <row r="235" spans="4:10" x14ac:dyDescent="0.35">
      <c r="D235" t="s">
        <v>23</v>
      </c>
      <c r="E235" t="s">
        <v>79</v>
      </c>
      <c r="F235">
        <v>120</v>
      </c>
      <c r="G235">
        <v>104</v>
      </c>
      <c r="H235">
        <v>16</v>
      </c>
      <c r="I235" t="s">
        <v>90</v>
      </c>
      <c r="J235" t="s">
        <v>91</v>
      </c>
    </row>
    <row r="236" spans="4:10" x14ac:dyDescent="0.35">
      <c r="D236" t="s">
        <v>23</v>
      </c>
      <c r="E236" t="s">
        <v>82</v>
      </c>
      <c r="F236">
        <v>360</v>
      </c>
      <c r="G236">
        <v>305</v>
      </c>
      <c r="H236">
        <v>55</v>
      </c>
      <c r="I236" t="s">
        <v>133</v>
      </c>
      <c r="J236" t="s">
        <v>134</v>
      </c>
    </row>
    <row r="237" spans="4:10" x14ac:dyDescent="0.35">
      <c r="D237" t="s">
        <v>23</v>
      </c>
      <c r="E237" t="s">
        <v>85</v>
      </c>
      <c r="F237">
        <v>240</v>
      </c>
      <c r="G237">
        <v>211</v>
      </c>
      <c r="H237">
        <v>29</v>
      </c>
      <c r="I237" t="s">
        <v>193</v>
      </c>
      <c r="J237" t="s">
        <v>194</v>
      </c>
    </row>
    <row r="238" spans="4:10" x14ac:dyDescent="0.35">
      <c r="D238" t="s">
        <v>23</v>
      </c>
      <c r="E238" t="s">
        <v>88</v>
      </c>
      <c r="F238">
        <v>120</v>
      </c>
      <c r="G238">
        <v>102</v>
      </c>
      <c r="H238">
        <v>18</v>
      </c>
      <c r="I238" t="s">
        <v>102</v>
      </c>
      <c r="J238" t="s">
        <v>103</v>
      </c>
    </row>
    <row r="239" spans="4:10" x14ac:dyDescent="0.35">
      <c r="D239" t="s">
        <v>23</v>
      </c>
      <c r="E239" t="s">
        <v>89</v>
      </c>
      <c r="F239">
        <v>120</v>
      </c>
      <c r="G239">
        <v>102</v>
      </c>
      <c r="H239">
        <v>18</v>
      </c>
      <c r="I239" t="s">
        <v>102</v>
      </c>
      <c r="J239" t="s">
        <v>103</v>
      </c>
    </row>
    <row r="240" spans="4:10" x14ac:dyDescent="0.35">
      <c r="D240" t="s">
        <v>23</v>
      </c>
      <c r="E240" t="s">
        <v>92</v>
      </c>
      <c r="F240">
        <v>120</v>
      </c>
      <c r="G240">
        <v>102</v>
      </c>
      <c r="H240">
        <v>18</v>
      </c>
      <c r="I240" t="s">
        <v>102</v>
      </c>
      <c r="J240" t="s">
        <v>103</v>
      </c>
    </row>
    <row r="241" spans="4:10" x14ac:dyDescent="0.35">
      <c r="D241" t="s">
        <v>23</v>
      </c>
      <c r="E241" t="s">
        <v>95</v>
      </c>
      <c r="F241">
        <v>360</v>
      </c>
      <c r="G241">
        <v>298</v>
      </c>
      <c r="H241">
        <v>62</v>
      </c>
      <c r="I241" t="s">
        <v>195</v>
      </c>
      <c r="J241" t="s">
        <v>196</v>
      </c>
    </row>
    <row r="242" spans="4:10" x14ac:dyDescent="0.35">
      <c r="D242" t="s">
        <v>23</v>
      </c>
      <c r="E242" t="s">
        <v>98</v>
      </c>
      <c r="F242">
        <v>120</v>
      </c>
      <c r="G242">
        <v>100</v>
      </c>
      <c r="H242">
        <v>20</v>
      </c>
      <c r="I242" t="s">
        <v>61</v>
      </c>
      <c r="J242" t="s">
        <v>62</v>
      </c>
    </row>
    <row r="243" spans="4:10" x14ac:dyDescent="0.35">
      <c r="D243" t="s">
        <v>23</v>
      </c>
      <c r="E243" t="s">
        <v>101</v>
      </c>
      <c r="F243">
        <v>120</v>
      </c>
      <c r="G243">
        <v>101</v>
      </c>
      <c r="H243">
        <v>19</v>
      </c>
      <c r="I243" t="s">
        <v>76</v>
      </c>
      <c r="J243" t="s">
        <v>77</v>
      </c>
    </row>
    <row r="244" spans="4:10" x14ac:dyDescent="0.35">
      <c r="D244" t="s">
        <v>23</v>
      </c>
      <c r="E244" t="s">
        <v>104</v>
      </c>
      <c r="F244">
        <v>480</v>
      </c>
      <c r="G244">
        <v>409</v>
      </c>
      <c r="H244">
        <v>71</v>
      </c>
      <c r="I244" t="s">
        <v>197</v>
      </c>
      <c r="J244" t="s">
        <v>198</v>
      </c>
    </row>
    <row r="245" spans="4:10" x14ac:dyDescent="0.35">
      <c r="D245" t="s">
        <v>23</v>
      </c>
      <c r="E245" t="s">
        <v>107</v>
      </c>
      <c r="F245">
        <v>120</v>
      </c>
      <c r="G245">
        <v>103</v>
      </c>
      <c r="H245">
        <v>17</v>
      </c>
      <c r="I245" t="s">
        <v>163</v>
      </c>
      <c r="J245" t="s">
        <v>164</v>
      </c>
    </row>
    <row r="246" spans="4:10" x14ac:dyDescent="0.35">
      <c r="D246" t="s">
        <v>23</v>
      </c>
      <c r="E246" t="s">
        <v>108</v>
      </c>
      <c r="F246">
        <v>120</v>
      </c>
      <c r="G246">
        <v>103</v>
      </c>
      <c r="H246">
        <v>17</v>
      </c>
      <c r="I246" t="s">
        <v>163</v>
      </c>
      <c r="J246" t="s">
        <v>164</v>
      </c>
    </row>
    <row r="247" spans="4:10" x14ac:dyDescent="0.35">
      <c r="D247" t="s">
        <v>23</v>
      </c>
      <c r="E247" t="s">
        <v>109</v>
      </c>
      <c r="F247">
        <v>120</v>
      </c>
      <c r="G247">
        <v>103</v>
      </c>
      <c r="H247">
        <v>17</v>
      </c>
      <c r="I247" t="s">
        <v>163</v>
      </c>
      <c r="J247" t="s">
        <v>164</v>
      </c>
    </row>
    <row r="248" spans="4:10" x14ac:dyDescent="0.35">
      <c r="D248" t="s">
        <v>23</v>
      </c>
      <c r="E248" t="s">
        <v>112</v>
      </c>
      <c r="F248">
        <v>120</v>
      </c>
      <c r="G248">
        <v>100</v>
      </c>
      <c r="H248">
        <v>20</v>
      </c>
      <c r="I248" t="s">
        <v>61</v>
      </c>
      <c r="J248" t="s">
        <v>62</v>
      </c>
    </row>
    <row r="249" spans="4:10" x14ac:dyDescent="0.35">
      <c r="D249" t="s">
        <v>23</v>
      </c>
      <c r="E249" t="s">
        <v>113</v>
      </c>
      <c r="F249">
        <v>120</v>
      </c>
      <c r="G249">
        <v>100</v>
      </c>
      <c r="H249">
        <v>20</v>
      </c>
      <c r="I249" t="s">
        <v>61</v>
      </c>
      <c r="J249" t="s">
        <v>62</v>
      </c>
    </row>
    <row r="250" spans="4:10" x14ac:dyDescent="0.35">
      <c r="D250" t="s">
        <v>23</v>
      </c>
      <c r="E250" t="s">
        <v>114</v>
      </c>
      <c r="F250">
        <v>120</v>
      </c>
      <c r="G250">
        <v>103</v>
      </c>
      <c r="H250">
        <v>17</v>
      </c>
      <c r="I250" t="s">
        <v>163</v>
      </c>
      <c r="J250" t="s">
        <v>164</v>
      </c>
    </row>
    <row r="251" spans="4:10" x14ac:dyDescent="0.35">
      <c r="D251" t="s">
        <v>23</v>
      </c>
      <c r="E251" t="s">
        <v>117</v>
      </c>
      <c r="F251">
        <v>120</v>
      </c>
      <c r="G251">
        <v>105</v>
      </c>
      <c r="H251">
        <v>15</v>
      </c>
      <c r="I251" t="s">
        <v>161</v>
      </c>
      <c r="J251" t="s">
        <v>162</v>
      </c>
    </row>
    <row r="252" spans="4:10" x14ac:dyDescent="0.35">
      <c r="D252" t="s">
        <v>23</v>
      </c>
      <c r="E252" t="s">
        <v>120</v>
      </c>
      <c r="F252">
        <v>120</v>
      </c>
      <c r="G252">
        <v>103</v>
      </c>
      <c r="H252">
        <v>17</v>
      </c>
      <c r="I252" t="s">
        <v>163</v>
      </c>
      <c r="J252" t="s">
        <v>164</v>
      </c>
    </row>
    <row r="253" spans="4:10" x14ac:dyDescent="0.35">
      <c r="D253" t="s">
        <v>23</v>
      </c>
      <c r="E253" t="s">
        <v>123</v>
      </c>
      <c r="F253">
        <v>120</v>
      </c>
      <c r="G253">
        <v>105</v>
      </c>
      <c r="H253">
        <v>15</v>
      </c>
      <c r="I253" t="s">
        <v>161</v>
      </c>
      <c r="J253" t="s">
        <v>162</v>
      </c>
    </row>
    <row r="254" spans="4:10" x14ac:dyDescent="0.35">
      <c r="D254" t="s">
        <v>23</v>
      </c>
      <c r="E254" t="s">
        <v>126</v>
      </c>
      <c r="F254">
        <v>600</v>
      </c>
      <c r="G254">
        <v>517</v>
      </c>
      <c r="H254">
        <v>83</v>
      </c>
      <c r="I254" t="s">
        <v>199</v>
      </c>
      <c r="J254" t="s">
        <v>200</v>
      </c>
    </row>
    <row r="255" spans="4:10" x14ac:dyDescent="0.35">
      <c r="D255" t="s">
        <v>23</v>
      </c>
      <c r="E255" t="s">
        <v>129</v>
      </c>
      <c r="F255">
        <v>120</v>
      </c>
      <c r="G255">
        <v>101</v>
      </c>
      <c r="H255">
        <v>19</v>
      </c>
      <c r="I255" t="s">
        <v>76</v>
      </c>
      <c r="J255" t="s">
        <v>77</v>
      </c>
    </row>
    <row r="256" spans="4:10" x14ac:dyDescent="0.35">
      <c r="D256" t="s">
        <v>23</v>
      </c>
      <c r="E256" t="s">
        <v>130</v>
      </c>
      <c r="F256">
        <v>120</v>
      </c>
      <c r="G256">
        <v>103</v>
      </c>
      <c r="H256">
        <v>17</v>
      </c>
      <c r="I256" t="s">
        <v>163</v>
      </c>
      <c r="J256" t="s">
        <v>164</v>
      </c>
    </row>
    <row r="257" spans="4:10" x14ac:dyDescent="0.35">
      <c r="D257" t="s">
        <v>23</v>
      </c>
      <c r="E257" t="s">
        <v>131</v>
      </c>
      <c r="F257">
        <v>120</v>
      </c>
      <c r="G257">
        <v>103</v>
      </c>
      <c r="H257">
        <v>17</v>
      </c>
      <c r="I257" t="s">
        <v>163</v>
      </c>
      <c r="J257" t="s">
        <v>164</v>
      </c>
    </row>
    <row r="258" spans="4:10" x14ac:dyDescent="0.35">
      <c r="D258" t="s">
        <v>23</v>
      </c>
      <c r="E258" t="s">
        <v>132</v>
      </c>
      <c r="F258">
        <v>360</v>
      </c>
      <c r="G258">
        <v>308</v>
      </c>
      <c r="H258">
        <v>52</v>
      </c>
      <c r="I258" t="s">
        <v>58</v>
      </c>
      <c r="J258" t="s">
        <v>59</v>
      </c>
    </row>
    <row r="259" spans="4:10" x14ac:dyDescent="0.35">
      <c r="D259" t="s">
        <v>23</v>
      </c>
      <c r="E259" t="s">
        <v>135</v>
      </c>
      <c r="F259">
        <v>240</v>
      </c>
      <c r="G259">
        <v>206</v>
      </c>
      <c r="H259">
        <v>34</v>
      </c>
      <c r="I259" t="s">
        <v>163</v>
      </c>
      <c r="J259" t="s">
        <v>164</v>
      </c>
    </row>
    <row r="260" spans="4:10" x14ac:dyDescent="0.35">
      <c r="D260" t="s">
        <v>23</v>
      </c>
      <c r="E260" t="s">
        <v>25</v>
      </c>
      <c r="F260">
        <v>120</v>
      </c>
      <c r="G260">
        <v>104</v>
      </c>
      <c r="H260">
        <v>16</v>
      </c>
      <c r="I260" t="s">
        <v>90</v>
      </c>
      <c r="J260" t="s">
        <v>91</v>
      </c>
    </row>
    <row r="261" spans="4:10" x14ac:dyDescent="0.35">
      <c r="D261" t="s">
        <v>23</v>
      </c>
      <c r="E261" t="s">
        <v>138</v>
      </c>
      <c r="F261">
        <v>120</v>
      </c>
      <c r="G261">
        <v>103</v>
      </c>
      <c r="H261">
        <v>17</v>
      </c>
      <c r="I261" t="s">
        <v>163</v>
      </c>
      <c r="J261" t="s">
        <v>164</v>
      </c>
    </row>
    <row r="262" spans="4:10" x14ac:dyDescent="0.35">
      <c r="D262" t="s">
        <v>23</v>
      </c>
      <c r="E262" t="s">
        <v>139</v>
      </c>
      <c r="F262">
        <v>120</v>
      </c>
      <c r="G262">
        <v>100</v>
      </c>
      <c r="H262">
        <v>20</v>
      </c>
      <c r="I262" t="s">
        <v>61</v>
      </c>
      <c r="J262" t="s">
        <v>62</v>
      </c>
    </row>
    <row r="263" spans="4:10" x14ac:dyDescent="0.35">
      <c r="D263" t="s">
        <v>23</v>
      </c>
      <c r="E263" t="s">
        <v>140</v>
      </c>
      <c r="F263">
        <v>120</v>
      </c>
      <c r="G263">
        <v>102</v>
      </c>
      <c r="H263">
        <v>18</v>
      </c>
      <c r="I263" t="s">
        <v>102</v>
      </c>
      <c r="J263" t="s">
        <v>103</v>
      </c>
    </row>
    <row r="264" spans="4:10" x14ac:dyDescent="0.35">
      <c r="D264" t="s">
        <v>23</v>
      </c>
      <c r="E264" t="s">
        <v>141</v>
      </c>
      <c r="F264">
        <v>120</v>
      </c>
      <c r="G264">
        <v>102</v>
      </c>
      <c r="H264">
        <v>18</v>
      </c>
      <c r="I264" t="s">
        <v>102</v>
      </c>
      <c r="J264" t="s">
        <v>103</v>
      </c>
    </row>
    <row r="265" spans="4:10" x14ac:dyDescent="0.35">
      <c r="D265" t="s">
        <v>23</v>
      </c>
      <c r="E265" t="s">
        <v>142</v>
      </c>
      <c r="F265">
        <v>120</v>
      </c>
      <c r="G265">
        <v>103</v>
      </c>
      <c r="H265">
        <v>17</v>
      </c>
      <c r="I265" t="s">
        <v>163</v>
      </c>
      <c r="J265" t="s">
        <v>164</v>
      </c>
    </row>
    <row r="266" spans="4:10" x14ac:dyDescent="0.35">
      <c r="D266" t="s">
        <v>23</v>
      </c>
      <c r="E266" t="s">
        <v>143</v>
      </c>
      <c r="F266">
        <v>120</v>
      </c>
      <c r="G266">
        <v>101</v>
      </c>
      <c r="H266">
        <v>19</v>
      </c>
      <c r="I266" t="s">
        <v>76</v>
      </c>
      <c r="J266" t="s">
        <v>77</v>
      </c>
    </row>
    <row r="267" spans="4:10" x14ac:dyDescent="0.35">
      <c r="D267" t="s">
        <v>23</v>
      </c>
      <c r="E267" t="s">
        <v>144</v>
      </c>
      <c r="F267">
        <v>120</v>
      </c>
      <c r="G267">
        <v>106</v>
      </c>
      <c r="H267">
        <v>14</v>
      </c>
      <c r="I267" t="s">
        <v>171</v>
      </c>
      <c r="J267" t="s">
        <v>172</v>
      </c>
    </row>
    <row r="268" spans="4:10" x14ac:dyDescent="0.35">
      <c r="D268" t="s">
        <v>23</v>
      </c>
      <c r="E268" t="s">
        <v>147</v>
      </c>
      <c r="F268">
        <v>120</v>
      </c>
      <c r="G268">
        <v>100</v>
      </c>
      <c r="H268">
        <v>20</v>
      </c>
      <c r="I268" t="s">
        <v>61</v>
      </c>
      <c r="J268" t="s">
        <v>62</v>
      </c>
    </row>
    <row r="269" spans="4:10" x14ac:dyDescent="0.35">
      <c r="D269" t="s">
        <v>23</v>
      </c>
      <c r="E269" t="s">
        <v>148</v>
      </c>
      <c r="F269">
        <v>606</v>
      </c>
      <c r="G269">
        <v>513</v>
      </c>
      <c r="H269">
        <v>93</v>
      </c>
      <c r="I269" t="s">
        <v>201</v>
      </c>
      <c r="J269" t="s">
        <v>202</v>
      </c>
    </row>
    <row r="270" spans="4:10" x14ac:dyDescent="0.35">
      <c r="D270" t="s">
        <v>23</v>
      </c>
      <c r="E270" t="s">
        <v>151</v>
      </c>
      <c r="F270">
        <v>120</v>
      </c>
      <c r="G270">
        <v>105</v>
      </c>
      <c r="H270">
        <v>15</v>
      </c>
      <c r="I270" t="s">
        <v>161</v>
      </c>
      <c r="J270" t="s">
        <v>162</v>
      </c>
    </row>
    <row r="271" spans="4:10" x14ac:dyDescent="0.35">
      <c r="D271" t="s">
        <v>23</v>
      </c>
      <c r="E271" t="s">
        <v>152</v>
      </c>
      <c r="F271">
        <v>120</v>
      </c>
      <c r="G271">
        <v>103</v>
      </c>
      <c r="H271">
        <v>17</v>
      </c>
      <c r="I271" t="s">
        <v>163</v>
      </c>
      <c r="J271" t="s">
        <v>164</v>
      </c>
    </row>
    <row r="272" spans="4:10" x14ac:dyDescent="0.35">
      <c r="D272" t="s">
        <v>23</v>
      </c>
      <c r="E272" t="s">
        <v>153</v>
      </c>
      <c r="F272">
        <v>360</v>
      </c>
      <c r="G272">
        <v>309</v>
      </c>
      <c r="H272">
        <v>51</v>
      </c>
      <c r="I272" t="s">
        <v>163</v>
      </c>
      <c r="J272" t="s">
        <v>164</v>
      </c>
    </row>
    <row r="273" spans="4:10" x14ac:dyDescent="0.35">
      <c r="D273" t="s">
        <v>23</v>
      </c>
      <c r="E273" t="s">
        <v>156</v>
      </c>
      <c r="F273">
        <v>120</v>
      </c>
      <c r="G273">
        <v>106</v>
      </c>
      <c r="H273">
        <v>14</v>
      </c>
      <c r="I273" t="s">
        <v>171</v>
      </c>
      <c r="J273" t="s">
        <v>172</v>
      </c>
    </row>
    <row r="274" spans="4:10" x14ac:dyDescent="0.35">
      <c r="D274" t="s">
        <v>23</v>
      </c>
      <c r="E274" t="s">
        <v>157</v>
      </c>
      <c r="F274">
        <v>360</v>
      </c>
      <c r="G274">
        <v>314</v>
      </c>
      <c r="H274">
        <v>46</v>
      </c>
      <c r="I274" t="s">
        <v>189</v>
      </c>
      <c r="J274" t="s">
        <v>190</v>
      </c>
    </row>
    <row r="275" spans="4:10" x14ac:dyDescent="0.35">
      <c r="D275" t="s">
        <v>23</v>
      </c>
      <c r="E275" t="s">
        <v>158</v>
      </c>
      <c r="F275">
        <v>240</v>
      </c>
      <c r="G275">
        <v>201</v>
      </c>
      <c r="H275">
        <v>39</v>
      </c>
      <c r="I275" t="s">
        <v>99</v>
      </c>
      <c r="J275" t="s">
        <v>100</v>
      </c>
    </row>
    <row r="276" spans="4:10" x14ac:dyDescent="0.35">
      <c r="D276" t="s">
        <v>24</v>
      </c>
      <c r="E276" t="s">
        <v>57</v>
      </c>
      <c r="F276">
        <v>120</v>
      </c>
      <c r="G276">
        <v>102</v>
      </c>
      <c r="H276">
        <v>18</v>
      </c>
      <c r="I276" t="s">
        <v>102</v>
      </c>
      <c r="J276" t="s">
        <v>103</v>
      </c>
    </row>
    <row r="277" spans="4:10" x14ac:dyDescent="0.35">
      <c r="D277" t="s">
        <v>24</v>
      </c>
      <c r="E277" t="s">
        <v>60</v>
      </c>
      <c r="F277">
        <v>120</v>
      </c>
      <c r="G277">
        <v>100</v>
      </c>
      <c r="H277">
        <v>20</v>
      </c>
      <c r="I277" t="s">
        <v>61</v>
      </c>
      <c r="J277" t="s">
        <v>62</v>
      </c>
    </row>
    <row r="278" spans="4:10" x14ac:dyDescent="0.35">
      <c r="D278" t="s">
        <v>24</v>
      </c>
      <c r="E278" t="s">
        <v>63</v>
      </c>
      <c r="F278">
        <v>720</v>
      </c>
      <c r="G278">
        <v>603</v>
      </c>
      <c r="H278">
        <v>117</v>
      </c>
      <c r="I278" t="s">
        <v>99</v>
      </c>
      <c r="J278" t="s">
        <v>100</v>
      </c>
    </row>
    <row r="279" spans="4:10" x14ac:dyDescent="0.35">
      <c r="D279" t="s">
        <v>24</v>
      </c>
      <c r="E279" t="s">
        <v>66</v>
      </c>
      <c r="F279">
        <v>120</v>
      </c>
      <c r="G279">
        <v>100</v>
      </c>
      <c r="H279">
        <v>20</v>
      </c>
      <c r="I279" t="s">
        <v>61</v>
      </c>
      <c r="J279" t="s">
        <v>62</v>
      </c>
    </row>
    <row r="280" spans="4:10" x14ac:dyDescent="0.35">
      <c r="D280" t="s">
        <v>24</v>
      </c>
      <c r="E280" t="s">
        <v>69</v>
      </c>
      <c r="F280">
        <v>120</v>
      </c>
      <c r="G280">
        <v>102</v>
      </c>
      <c r="H280">
        <v>18</v>
      </c>
      <c r="I280" t="s">
        <v>102</v>
      </c>
      <c r="J280" t="s">
        <v>103</v>
      </c>
    </row>
    <row r="281" spans="4:10" x14ac:dyDescent="0.35">
      <c r="D281" t="s">
        <v>24</v>
      </c>
      <c r="E281" t="s">
        <v>72</v>
      </c>
      <c r="F281">
        <v>396</v>
      </c>
      <c r="G281">
        <v>336</v>
      </c>
      <c r="H281">
        <v>60</v>
      </c>
      <c r="I281" t="s">
        <v>203</v>
      </c>
      <c r="J281" t="s">
        <v>204</v>
      </c>
    </row>
    <row r="282" spans="4:10" x14ac:dyDescent="0.35">
      <c r="D282" t="s">
        <v>24</v>
      </c>
      <c r="E282" t="s">
        <v>75</v>
      </c>
      <c r="F282">
        <v>120</v>
      </c>
      <c r="G282">
        <v>100</v>
      </c>
      <c r="H282">
        <v>20</v>
      </c>
      <c r="I282" t="s">
        <v>61</v>
      </c>
      <c r="J282" t="s">
        <v>62</v>
      </c>
    </row>
    <row r="283" spans="4:10" x14ac:dyDescent="0.35">
      <c r="D283" t="s">
        <v>24</v>
      </c>
      <c r="E283" t="s">
        <v>78</v>
      </c>
      <c r="F283">
        <v>120</v>
      </c>
      <c r="G283">
        <v>107</v>
      </c>
      <c r="H283">
        <v>13</v>
      </c>
      <c r="I283" t="s">
        <v>167</v>
      </c>
      <c r="J283" t="s">
        <v>168</v>
      </c>
    </row>
    <row r="284" spans="4:10" x14ac:dyDescent="0.35">
      <c r="D284" t="s">
        <v>24</v>
      </c>
      <c r="E284" t="s">
        <v>79</v>
      </c>
      <c r="F284">
        <v>120</v>
      </c>
      <c r="G284">
        <v>105</v>
      </c>
      <c r="H284">
        <v>15</v>
      </c>
      <c r="I284" t="s">
        <v>161</v>
      </c>
      <c r="J284" t="s">
        <v>162</v>
      </c>
    </row>
    <row r="285" spans="4:10" x14ac:dyDescent="0.35">
      <c r="D285" t="s">
        <v>24</v>
      </c>
      <c r="E285" t="s">
        <v>82</v>
      </c>
      <c r="F285">
        <v>360</v>
      </c>
      <c r="G285">
        <v>304</v>
      </c>
      <c r="H285">
        <v>56</v>
      </c>
      <c r="I285" t="s">
        <v>177</v>
      </c>
      <c r="J285" t="s">
        <v>178</v>
      </c>
    </row>
    <row r="286" spans="4:10" x14ac:dyDescent="0.35">
      <c r="D286" t="s">
        <v>24</v>
      </c>
      <c r="E286" t="s">
        <v>85</v>
      </c>
      <c r="F286">
        <v>240</v>
      </c>
      <c r="G286">
        <v>202</v>
      </c>
      <c r="H286">
        <v>38</v>
      </c>
      <c r="I286" t="s">
        <v>76</v>
      </c>
      <c r="J286" t="s">
        <v>77</v>
      </c>
    </row>
    <row r="287" spans="4:10" x14ac:dyDescent="0.35">
      <c r="D287" t="s">
        <v>24</v>
      </c>
      <c r="E287" t="s">
        <v>88</v>
      </c>
      <c r="F287">
        <v>120</v>
      </c>
      <c r="G287">
        <v>104</v>
      </c>
      <c r="H287">
        <v>16</v>
      </c>
      <c r="I287" t="s">
        <v>90</v>
      </c>
      <c r="J287" t="s">
        <v>91</v>
      </c>
    </row>
    <row r="288" spans="4:10" x14ac:dyDescent="0.35">
      <c r="D288" t="s">
        <v>24</v>
      </c>
      <c r="E288" t="s">
        <v>89</v>
      </c>
      <c r="F288">
        <v>120</v>
      </c>
      <c r="G288">
        <v>109</v>
      </c>
      <c r="H288">
        <v>11</v>
      </c>
      <c r="I288" t="s">
        <v>205</v>
      </c>
      <c r="J288" t="s">
        <v>206</v>
      </c>
    </row>
    <row r="289" spans="4:10" x14ac:dyDescent="0.35">
      <c r="D289" t="s">
        <v>24</v>
      </c>
      <c r="E289" t="s">
        <v>92</v>
      </c>
      <c r="F289">
        <v>120</v>
      </c>
      <c r="G289">
        <v>100</v>
      </c>
      <c r="H289">
        <v>20</v>
      </c>
      <c r="I289" t="s">
        <v>61</v>
      </c>
      <c r="J289" t="s">
        <v>62</v>
      </c>
    </row>
    <row r="290" spans="4:10" x14ac:dyDescent="0.35">
      <c r="D290" t="s">
        <v>24</v>
      </c>
      <c r="E290" t="s">
        <v>95</v>
      </c>
      <c r="F290">
        <v>360</v>
      </c>
      <c r="G290">
        <v>306</v>
      </c>
      <c r="H290">
        <v>54</v>
      </c>
      <c r="I290" t="s">
        <v>102</v>
      </c>
      <c r="J290" t="s">
        <v>103</v>
      </c>
    </row>
    <row r="291" spans="4:10" x14ac:dyDescent="0.35">
      <c r="D291" t="s">
        <v>24</v>
      </c>
      <c r="E291" t="s">
        <v>98</v>
      </c>
      <c r="F291">
        <v>120</v>
      </c>
      <c r="G291">
        <v>101</v>
      </c>
      <c r="H291">
        <v>19</v>
      </c>
      <c r="I291" t="s">
        <v>76</v>
      </c>
      <c r="J291" t="s">
        <v>77</v>
      </c>
    </row>
    <row r="292" spans="4:10" x14ac:dyDescent="0.35">
      <c r="D292" t="s">
        <v>24</v>
      </c>
      <c r="E292" t="s">
        <v>101</v>
      </c>
      <c r="F292">
        <v>120</v>
      </c>
      <c r="G292">
        <v>100</v>
      </c>
      <c r="H292">
        <v>20</v>
      </c>
      <c r="I292" t="s">
        <v>61</v>
      </c>
      <c r="J292" t="s">
        <v>62</v>
      </c>
    </row>
    <row r="293" spans="4:10" x14ac:dyDescent="0.35">
      <c r="D293" t="s">
        <v>24</v>
      </c>
      <c r="E293" t="s">
        <v>104</v>
      </c>
      <c r="F293">
        <v>480</v>
      </c>
      <c r="G293">
        <v>410</v>
      </c>
      <c r="H293">
        <v>70</v>
      </c>
      <c r="I293" t="s">
        <v>159</v>
      </c>
      <c r="J293" t="s">
        <v>160</v>
      </c>
    </row>
    <row r="294" spans="4:10" x14ac:dyDescent="0.35">
      <c r="D294" t="s">
        <v>24</v>
      </c>
      <c r="E294" t="s">
        <v>107</v>
      </c>
      <c r="F294">
        <v>120</v>
      </c>
      <c r="G294">
        <v>102</v>
      </c>
      <c r="H294">
        <v>18</v>
      </c>
      <c r="I294" t="s">
        <v>102</v>
      </c>
      <c r="J294" t="s">
        <v>103</v>
      </c>
    </row>
    <row r="295" spans="4:10" x14ac:dyDescent="0.35">
      <c r="D295" t="s">
        <v>24</v>
      </c>
      <c r="E295" t="s">
        <v>108</v>
      </c>
      <c r="F295">
        <v>120</v>
      </c>
      <c r="G295">
        <v>105</v>
      </c>
      <c r="H295">
        <v>15</v>
      </c>
      <c r="I295" t="s">
        <v>161</v>
      </c>
      <c r="J295" t="s">
        <v>162</v>
      </c>
    </row>
    <row r="296" spans="4:10" x14ac:dyDescent="0.35">
      <c r="D296" t="s">
        <v>24</v>
      </c>
      <c r="E296" t="s">
        <v>109</v>
      </c>
      <c r="F296">
        <v>120</v>
      </c>
      <c r="G296">
        <v>101</v>
      </c>
      <c r="H296">
        <v>19</v>
      </c>
      <c r="I296" t="s">
        <v>76</v>
      </c>
      <c r="J296" t="s">
        <v>77</v>
      </c>
    </row>
    <row r="297" spans="4:10" x14ac:dyDescent="0.35">
      <c r="D297" t="s">
        <v>24</v>
      </c>
      <c r="E297" t="s">
        <v>112</v>
      </c>
      <c r="F297">
        <v>120</v>
      </c>
      <c r="G297">
        <v>100</v>
      </c>
      <c r="H297">
        <v>20</v>
      </c>
      <c r="I297" t="s">
        <v>61</v>
      </c>
      <c r="J297" t="s">
        <v>62</v>
      </c>
    </row>
    <row r="298" spans="4:10" x14ac:dyDescent="0.35">
      <c r="D298" t="s">
        <v>24</v>
      </c>
      <c r="E298" t="s">
        <v>113</v>
      </c>
      <c r="F298">
        <v>120</v>
      </c>
      <c r="G298">
        <v>101</v>
      </c>
      <c r="H298">
        <v>19</v>
      </c>
      <c r="I298" t="s">
        <v>76</v>
      </c>
      <c r="J298" t="s">
        <v>77</v>
      </c>
    </row>
    <row r="299" spans="4:10" x14ac:dyDescent="0.35">
      <c r="D299" t="s">
        <v>24</v>
      </c>
      <c r="E299" t="s">
        <v>114</v>
      </c>
      <c r="F299">
        <v>120</v>
      </c>
      <c r="G299">
        <v>101</v>
      </c>
      <c r="H299">
        <v>19</v>
      </c>
      <c r="I299" t="s">
        <v>76</v>
      </c>
      <c r="J299" t="s">
        <v>77</v>
      </c>
    </row>
    <row r="300" spans="4:10" x14ac:dyDescent="0.35">
      <c r="D300" t="s">
        <v>24</v>
      </c>
      <c r="E300" t="s">
        <v>117</v>
      </c>
      <c r="F300">
        <v>120</v>
      </c>
      <c r="G300">
        <v>103</v>
      </c>
      <c r="H300">
        <v>17</v>
      </c>
      <c r="I300" t="s">
        <v>163</v>
      </c>
      <c r="J300" t="s">
        <v>164</v>
      </c>
    </row>
    <row r="301" spans="4:10" x14ac:dyDescent="0.35">
      <c r="D301" t="s">
        <v>24</v>
      </c>
      <c r="E301" t="s">
        <v>120</v>
      </c>
      <c r="F301">
        <v>120</v>
      </c>
      <c r="G301">
        <v>105</v>
      </c>
      <c r="H301">
        <v>15</v>
      </c>
      <c r="I301" t="s">
        <v>161</v>
      </c>
      <c r="J301" t="s">
        <v>162</v>
      </c>
    </row>
    <row r="302" spans="4:10" x14ac:dyDescent="0.35">
      <c r="D302" t="s">
        <v>24</v>
      </c>
      <c r="E302" t="s">
        <v>123</v>
      </c>
      <c r="F302">
        <v>120</v>
      </c>
      <c r="G302">
        <v>102</v>
      </c>
      <c r="H302">
        <v>18</v>
      </c>
      <c r="I302" t="s">
        <v>102</v>
      </c>
      <c r="J302" t="s">
        <v>103</v>
      </c>
    </row>
    <row r="303" spans="4:10" x14ac:dyDescent="0.35">
      <c r="D303" t="s">
        <v>24</v>
      </c>
      <c r="E303" t="s">
        <v>126</v>
      </c>
      <c r="F303">
        <v>600</v>
      </c>
      <c r="G303">
        <v>503</v>
      </c>
      <c r="H303">
        <v>97</v>
      </c>
      <c r="I303" t="s">
        <v>185</v>
      </c>
      <c r="J303" t="s">
        <v>186</v>
      </c>
    </row>
    <row r="304" spans="4:10" x14ac:dyDescent="0.35">
      <c r="D304" t="s">
        <v>24</v>
      </c>
      <c r="E304" t="s">
        <v>129</v>
      </c>
      <c r="F304">
        <v>120</v>
      </c>
      <c r="G304">
        <v>102</v>
      </c>
      <c r="H304">
        <v>18</v>
      </c>
      <c r="I304" t="s">
        <v>102</v>
      </c>
      <c r="J304" t="s">
        <v>103</v>
      </c>
    </row>
    <row r="305" spans="4:10" x14ac:dyDescent="0.35">
      <c r="D305" t="s">
        <v>24</v>
      </c>
      <c r="E305" t="s">
        <v>130</v>
      </c>
      <c r="F305">
        <v>120</v>
      </c>
      <c r="G305">
        <v>105</v>
      </c>
      <c r="H305">
        <v>15</v>
      </c>
      <c r="I305" t="s">
        <v>161</v>
      </c>
      <c r="J305" t="s">
        <v>162</v>
      </c>
    </row>
    <row r="306" spans="4:10" x14ac:dyDescent="0.35">
      <c r="D306" t="s">
        <v>24</v>
      </c>
      <c r="E306" t="s">
        <v>131</v>
      </c>
      <c r="F306">
        <v>120</v>
      </c>
      <c r="G306">
        <v>104</v>
      </c>
      <c r="H306">
        <v>16</v>
      </c>
      <c r="I306" t="s">
        <v>90</v>
      </c>
      <c r="J306" t="s">
        <v>91</v>
      </c>
    </row>
    <row r="307" spans="4:10" x14ac:dyDescent="0.35">
      <c r="D307" t="s">
        <v>24</v>
      </c>
      <c r="E307" t="s">
        <v>132</v>
      </c>
      <c r="F307">
        <v>360</v>
      </c>
      <c r="G307">
        <v>306</v>
      </c>
      <c r="H307">
        <v>54</v>
      </c>
      <c r="I307" t="s">
        <v>102</v>
      </c>
      <c r="J307" t="s">
        <v>103</v>
      </c>
    </row>
    <row r="308" spans="4:10" x14ac:dyDescent="0.35">
      <c r="D308" t="s">
        <v>24</v>
      </c>
      <c r="E308" t="s">
        <v>135</v>
      </c>
      <c r="F308">
        <v>240</v>
      </c>
      <c r="G308">
        <v>206</v>
      </c>
      <c r="H308">
        <v>34</v>
      </c>
      <c r="I308" t="s">
        <v>163</v>
      </c>
      <c r="J308" t="s">
        <v>164</v>
      </c>
    </row>
    <row r="309" spans="4:10" x14ac:dyDescent="0.35">
      <c r="D309" t="s">
        <v>24</v>
      </c>
      <c r="E309" t="s">
        <v>25</v>
      </c>
      <c r="F309">
        <v>120</v>
      </c>
      <c r="G309">
        <v>103</v>
      </c>
      <c r="H309">
        <v>17</v>
      </c>
      <c r="I309" t="s">
        <v>163</v>
      </c>
      <c r="J309" t="s">
        <v>164</v>
      </c>
    </row>
    <row r="310" spans="4:10" x14ac:dyDescent="0.35">
      <c r="D310" t="s">
        <v>24</v>
      </c>
      <c r="E310" t="s">
        <v>138</v>
      </c>
      <c r="F310">
        <v>120</v>
      </c>
      <c r="G310">
        <v>100</v>
      </c>
      <c r="H310">
        <v>20</v>
      </c>
      <c r="I310" t="s">
        <v>61</v>
      </c>
      <c r="J310" t="s">
        <v>62</v>
      </c>
    </row>
    <row r="311" spans="4:10" x14ac:dyDescent="0.35">
      <c r="D311" t="s">
        <v>24</v>
      </c>
      <c r="E311" t="s">
        <v>139</v>
      </c>
      <c r="F311">
        <v>120</v>
      </c>
      <c r="G311">
        <v>100</v>
      </c>
      <c r="H311">
        <v>20</v>
      </c>
      <c r="I311" t="s">
        <v>61</v>
      </c>
      <c r="J311" t="s">
        <v>62</v>
      </c>
    </row>
    <row r="312" spans="4:10" x14ac:dyDescent="0.35">
      <c r="D312" t="s">
        <v>24</v>
      </c>
      <c r="E312" t="s">
        <v>140</v>
      </c>
      <c r="F312">
        <v>120</v>
      </c>
      <c r="G312">
        <v>106</v>
      </c>
      <c r="H312">
        <v>14</v>
      </c>
      <c r="I312" t="s">
        <v>171</v>
      </c>
      <c r="J312" t="s">
        <v>172</v>
      </c>
    </row>
    <row r="313" spans="4:10" x14ac:dyDescent="0.35">
      <c r="D313" t="s">
        <v>24</v>
      </c>
      <c r="E313" t="s">
        <v>141</v>
      </c>
      <c r="F313">
        <v>120</v>
      </c>
      <c r="G313">
        <v>104</v>
      </c>
      <c r="H313">
        <v>16</v>
      </c>
      <c r="I313" t="s">
        <v>90</v>
      </c>
      <c r="J313" t="s">
        <v>91</v>
      </c>
    </row>
    <row r="314" spans="4:10" x14ac:dyDescent="0.35">
      <c r="D314" t="s">
        <v>24</v>
      </c>
      <c r="E314" t="s">
        <v>142</v>
      </c>
      <c r="F314">
        <v>120</v>
      </c>
      <c r="G314">
        <v>102</v>
      </c>
      <c r="H314">
        <v>18</v>
      </c>
      <c r="I314" t="s">
        <v>102</v>
      </c>
      <c r="J314" t="s">
        <v>103</v>
      </c>
    </row>
    <row r="315" spans="4:10" x14ac:dyDescent="0.35">
      <c r="D315" t="s">
        <v>24</v>
      </c>
      <c r="E315" t="s">
        <v>143</v>
      </c>
      <c r="F315">
        <v>120</v>
      </c>
      <c r="G315">
        <v>103</v>
      </c>
      <c r="H315">
        <v>17</v>
      </c>
      <c r="I315" t="s">
        <v>163</v>
      </c>
      <c r="J315" t="s">
        <v>164</v>
      </c>
    </row>
    <row r="316" spans="4:10" x14ac:dyDescent="0.35">
      <c r="D316" t="s">
        <v>24</v>
      </c>
      <c r="E316" t="s">
        <v>144</v>
      </c>
      <c r="F316">
        <v>120</v>
      </c>
      <c r="G316">
        <v>104</v>
      </c>
      <c r="H316">
        <v>16</v>
      </c>
      <c r="I316" t="s">
        <v>90</v>
      </c>
      <c r="J316" t="s">
        <v>91</v>
      </c>
    </row>
    <row r="317" spans="4:10" x14ac:dyDescent="0.35">
      <c r="D317" t="s">
        <v>24</v>
      </c>
      <c r="E317" t="s">
        <v>147</v>
      </c>
      <c r="F317">
        <v>120</v>
      </c>
      <c r="G317">
        <v>100</v>
      </c>
      <c r="H317">
        <v>20</v>
      </c>
      <c r="I317" t="s">
        <v>61</v>
      </c>
      <c r="J317" t="s">
        <v>62</v>
      </c>
    </row>
    <row r="318" spans="4:10" x14ac:dyDescent="0.35">
      <c r="D318" t="s">
        <v>24</v>
      </c>
      <c r="E318" t="s">
        <v>148</v>
      </c>
      <c r="F318">
        <v>606</v>
      </c>
      <c r="G318">
        <v>509</v>
      </c>
      <c r="H318">
        <v>97</v>
      </c>
      <c r="I318" t="s">
        <v>207</v>
      </c>
      <c r="J318" t="s">
        <v>208</v>
      </c>
    </row>
    <row r="319" spans="4:10" x14ac:dyDescent="0.35">
      <c r="D319" t="s">
        <v>24</v>
      </c>
      <c r="E319" t="s">
        <v>151</v>
      </c>
      <c r="F319">
        <v>120</v>
      </c>
      <c r="G319">
        <v>103</v>
      </c>
      <c r="H319">
        <v>17</v>
      </c>
      <c r="I319" t="s">
        <v>163</v>
      </c>
      <c r="J319" t="s">
        <v>164</v>
      </c>
    </row>
    <row r="320" spans="4:10" x14ac:dyDescent="0.35">
      <c r="D320" t="s">
        <v>24</v>
      </c>
      <c r="E320" t="s">
        <v>152</v>
      </c>
      <c r="F320">
        <v>120</v>
      </c>
      <c r="G320">
        <v>100</v>
      </c>
      <c r="H320">
        <v>20</v>
      </c>
      <c r="I320" t="s">
        <v>61</v>
      </c>
      <c r="J320" t="s">
        <v>62</v>
      </c>
    </row>
    <row r="321" spans="4:10" x14ac:dyDescent="0.35">
      <c r="D321" t="s">
        <v>24</v>
      </c>
      <c r="E321" t="s">
        <v>153</v>
      </c>
      <c r="F321">
        <v>360</v>
      </c>
      <c r="G321">
        <v>307</v>
      </c>
      <c r="H321">
        <v>53</v>
      </c>
      <c r="I321" t="s">
        <v>209</v>
      </c>
      <c r="J321" t="s">
        <v>210</v>
      </c>
    </row>
    <row r="322" spans="4:10" x14ac:dyDescent="0.35">
      <c r="D322" t="s">
        <v>24</v>
      </c>
      <c r="E322" t="s">
        <v>156</v>
      </c>
      <c r="F322">
        <v>120</v>
      </c>
      <c r="G322">
        <v>103</v>
      </c>
      <c r="H322">
        <v>17</v>
      </c>
      <c r="I322" t="s">
        <v>163</v>
      </c>
      <c r="J322" t="s">
        <v>164</v>
      </c>
    </row>
    <row r="323" spans="4:10" x14ac:dyDescent="0.35">
      <c r="D323" t="s">
        <v>24</v>
      </c>
      <c r="E323" t="s">
        <v>157</v>
      </c>
      <c r="F323">
        <v>360</v>
      </c>
      <c r="G323">
        <v>309</v>
      </c>
      <c r="H323">
        <v>51</v>
      </c>
      <c r="I323" t="s">
        <v>163</v>
      </c>
      <c r="J323" t="s">
        <v>164</v>
      </c>
    </row>
    <row r="324" spans="4:10" x14ac:dyDescent="0.35">
      <c r="D324" t="s">
        <v>24</v>
      </c>
      <c r="E324" t="s">
        <v>158</v>
      </c>
      <c r="F324">
        <v>240</v>
      </c>
      <c r="G324">
        <v>203</v>
      </c>
      <c r="H324">
        <v>37</v>
      </c>
      <c r="I324" t="s">
        <v>211</v>
      </c>
      <c r="J324" t="s">
        <v>212</v>
      </c>
    </row>
    <row r="325" spans="4:10" x14ac:dyDescent="0.35">
      <c r="D325" t="s">
        <v>25</v>
      </c>
      <c r="E325" t="s">
        <v>57</v>
      </c>
      <c r="F325">
        <v>120</v>
      </c>
      <c r="G325">
        <v>104</v>
      </c>
      <c r="H325">
        <v>16</v>
      </c>
      <c r="I325" t="s">
        <v>90</v>
      </c>
      <c r="J325" t="s">
        <v>91</v>
      </c>
    </row>
    <row r="326" spans="4:10" x14ac:dyDescent="0.35">
      <c r="D326" t="s">
        <v>25</v>
      </c>
      <c r="E326" t="s">
        <v>60</v>
      </c>
      <c r="F326">
        <v>120</v>
      </c>
      <c r="G326">
        <v>100</v>
      </c>
      <c r="H326">
        <v>20</v>
      </c>
      <c r="I326" t="s">
        <v>61</v>
      </c>
      <c r="J326" t="s">
        <v>62</v>
      </c>
    </row>
    <row r="327" spans="4:10" x14ac:dyDescent="0.35">
      <c r="D327" t="s">
        <v>25</v>
      </c>
      <c r="E327" t="s">
        <v>63</v>
      </c>
      <c r="F327">
        <v>720</v>
      </c>
      <c r="G327">
        <v>607</v>
      </c>
      <c r="H327">
        <v>113</v>
      </c>
      <c r="I327" t="s">
        <v>110</v>
      </c>
      <c r="J327" t="s">
        <v>111</v>
      </c>
    </row>
    <row r="328" spans="4:10" x14ac:dyDescent="0.35">
      <c r="D328" t="s">
        <v>25</v>
      </c>
      <c r="E328" t="s">
        <v>66</v>
      </c>
      <c r="F328">
        <v>120</v>
      </c>
      <c r="G328">
        <v>100</v>
      </c>
      <c r="H328">
        <v>20</v>
      </c>
      <c r="I328" t="s">
        <v>61</v>
      </c>
      <c r="J328" t="s">
        <v>62</v>
      </c>
    </row>
    <row r="329" spans="4:10" x14ac:dyDescent="0.35">
      <c r="D329" t="s">
        <v>25</v>
      </c>
      <c r="E329" t="s">
        <v>69</v>
      </c>
      <c r="F329">
        <v>120</v>
      </c>
      <c r="G329">
        <v>106</v>
      </c>
      <c r="H329">
        <v>14</v>
      </c>
      <c r="I329" t="s">
        <v>171</v>
      </c>
      <c r="J329" t="s">
        <v>172</v>
      </c>
    </row>
    <row r="330" spans="4:10" x14ac:dyDescent="0.35">
      <c r="D330" t="s">
        <v>25</v>
      </c>
      <c r="E330" t="s">
        <v>72</v>
      </c>
      <c r="F330">
        <v>396</v>
      </c>
      <c r="G330">
        <v>333</v>
      </c>
      <c r="H330">
        <v>63</v>
      </c>
      <c r="I330" t="s">
        <v>165</v>
      </c>
      <c r="J330" t="s">
        <v>166</v>
      </c>
    </row>
    <row r="331" spans="4:10" x14ac:dyDescent="0.35">
      <c r="D331" t="s">
        <v>25</v>
      </c>
      <c r="E331" t="s">
        <v>75</v>
      </c>
      <c r="F331">
        <v>120</v>
      </c>
      <c r="G331">
        <v>102</v>
      </c>
      <c r="H331">
        <v>18</v>
      </c>
      <c r="I331" t="s">
        <v>102</v>
      </c>
      <c r="J331" t="s">
        <v>103</v>
      </c>
    </row>
    <row r="332" spans="4:10" x14ac:dyDescent="0.35">
      <c r="D332" t="s">
        <v>25</v>
      </c>
      <c r="E332" t="s">
        <v>78</v>
      </c>
      <c r="F332">
        <v>120</v>
      </c>
      <c r="G332">
        <v>102</v>
      </c>
      <c r="H332">
        <v>18</v>
      </c>
      <c r="I332" t="s">
        <v>102</v>
      </c>
      <c r="J332" t="s">
        <v>103</v>
      </c>
    </row>
    <row r="333" spans="4:10" x14ac:dyDescent="0.35">
      <c r="D333" t="s">
        <v>25</v>
      </c>
      <c r="E333" t="s">
        <v>79</v>
      </c>
      <c r="F333">
        <v>120</v>
      </c>
      <c r="G333">
        <v>107</v>
      </c>
      <c r="H333">
        <v>13</v>
      </c>
      <c r="I333" t="s">
        <v>167</v>
      </c>
      <c r="J333" t="s">
        <v>168</v>
      </c>
    </row>
    <row r="334" spans="4:10" x14ac:dyDescent="0.35">
      <c r="D334" t="s">
        <v>25</v>
      </c>
      <c r="E334" t="s">
        <v>82</v>
      </c>
      <c r="F334">
        <v>360</v>
      </c>
      <c r="G334">
        <v>302</v>
      </c>
      <c r="H334">
        <v>58</v>
      </c>
      <c r="I334" t="s">
        <v>175</v>
      </c>
      <c r="J334" t="s">
        <v>176</v>
      </c>
    </row>
    <row r="335" spans="4:10" x14ac:dyDescent="0.35">
      <c r="D335" t="s">
        <v>25</v>
      </c>
      <c r="E335" t="s">
        <v>85</v>
      </c>
      <c r="F335">
        <v>240</v>
      </c>
      <c r="G335">
        <v>203</v>
      </c>
      <c r="H335">
        <v>37</v>
      </c>
      <c r="I335" t="s">
        <v>211</v>
      </c>
      <c r="J335" t="s">
        <v>212</v>
      </c>
    </row>
    <row r="336" spans="4:10" x14ac:dyDescent="0.35">
      <c r="D336" t="s">
        <v>25</v>
      </c>
      <c r="E336" t="s">
        <v>88</v>
      </c>
      <c r="F336">
        <v>120</v>
      </c>
      <c r="G336">
        <v>102</v>
      </c>
      <c r="H336">
        <v>18</v>
      </c>
      <c r="I336" t="s">
        <v>102</v>
      </c>
      <c r="J336" t="s">
        <v>103</v>
      </c>
    </row>
    <row r="337" spans="4:10" x14ac:dyDescent="0.35">
      <c r="D337" t="s">
        <v>25</v>
      </c>
      <c r="E337" t="s">
        <v>89</v>
      </c>
      <c r="F337">
        <v>120</v>
      </c>
      <c r="G337">
        <v>102</v>
      </c>
      <c r="H337">
        <v>18</v>
      </c>
      <c r="I337" t="s">
        <v>102</v>
      </c>
      <c r="J337" t="s">
        <v>103</v>
      </c>
    </row>
    <row r="338" spans="4:10" x14ac:dyDescent="0.35">
      <c r="D338" t="s">
        <v>25</v>
      </c>
      <c r="E338" t="s">
        <v>92</v>
      </c>
      <c r="F338">
        <v>120</v>
      </c>
      <c r="G338">
        <v>104</v>
      </c>
      <c r="H338">
        <v>16</v>
      </c>
      <c r="I338" t="s">
        <v>90</v>
      </c>
      <c r="J338" t="s">
        <v>91</v>
      </c>
    </row>
    <row r="339" spans="4:10" x14ac:dyDescent="0.35">
      <c r="D339" t="s">
        <v>25</v>
      </c>
      <c r="E339" t="s">
        <v>95</v>
      </c>
      <c r="F339">
        <v>360</v>
      </c>
      <c r="G339">
        <v>302</v>
      </c>
      <c r="H339">
        <v>58</v>
      </c>
      <c r="I339" t="s">
        <v>175</v>
      </c>
      <c r="J339" t="s">
        <v>176</v>
      </c>
    </row>
    <row r="340" spans="4:10" x14ac:dyDescent="0.35">
      <c r="D340" t="s">
        <v>25</v>
      </c>
      <c r="E340" t="s">
        <v>98</v>
      </c>
      <c r="F340">
        <v>120</v>
      </c>
      <c r="G340">
        <v>101</v>
      </c>
      <c r="H340">
        <v>19</v>
      </c>
      <c r="I340" t="s">
        <v>76</v>
      </c>
      <c r="J340" t="s">
        <v>77</v>
      </c>
    </row>
    <row r="341" spans="4:10" x14ac:dyDescent="0.35">
      <c r="D341" t="s">
        <v>25</v>
      </c>
      <c r="E341" t="s">
        <v>101</v>
      </c>
      <c r="F341">
        <v>120</v>
      </c>
      <c r="G341">
        <v>102</v>
      </c>
      <c r="H341">
        <v>18</v>
      </c>
      <c r="I341" t="s">
        <v>102</v>
      </c>
      <c r="J341" t="s">
        <v>103</v>
      </c>
    </row>
    <row r="342" spans="4:10" x14ac:dyDescent="0.35">
      <c r="D342" t="s">
        <v>25</v>
      </c>
      <c r="E342" t="s">
        <v>104</v>
      </c>
      <c r="F342">
        <v>480</v>
      </c>
      <c r="G342">
        <v>414</v>
      </c>
      <c r="H342">
        <v>66</v>
      </c>
      <c r="I342" t="s">
        <v>145</v>
      </c>
      <c r="J342" t="s">
        <v>146</v>
      </c>
    </row>
    <row r="343" spans="4:10" x14ac:dyDescent="0.35">
      <c r="D343" t="s">
        <v>25</v>
      </c>
      <c r="E343" t="s">
        <v>107</v>
      </c>
      <c r="F343">
        <v>120</v>
      </c>
      <c r="G343">
        <v>104</v>
      </c>
      <c r="H343">
        <v>16</v>
      </c>
      <c r="I343" t="s">
        <v>90</v>
      </c>
      <c r="J343" t="s">
        <v>91</v>
      </c>
    </row>
    <row r="344" spans="4:10" x14ac:dyDescent="0.35">
      <c r="D344" t="s">
        <v>25</v>
      </c>
      <c r="E344" t="s">
        <v>108</v>
      </c>
      <c r="F344">
        <v>120</v>
      </c>
      <c r="G344">
        <v>103</v>
      </c>
      <c r="H344">
        <v>17</v>
      </c>
      <c r="I344" t="s">
        <v>163</v>
      </c>
      <c r="J344" t="s">
        <v>164</v>
      </c>
    </row>
    <row r="345" spans="4:10" x14ac:dyDescent="0.35">
      <c r="D345" t="s">
        <v>25</v>
      </c>
      <c r="E345" t="s">
        <v>109</v>
      </c>
      <c r="F345">
        <v>120</v>
      </c>
      <c r="G345">
        <v>102</v>
      </c>
      <c r="H345">
        <v>18</v>
      </c>
      <c r="I345" t="s">
        <v>102</v>
      </c>
      <c r="J345" t="s">
        <v>103</v>
      </c>
    </row>
    <row r="346" spans="4:10" x14ac:dyDescent="0.35">
      <c r="D346" t="s">
        <v>25</v>
      </c>
      <c r="E346" t="s">
        <v>112</v>
      </c>
      <c r="F346">
        <v>120</v>
      </c>
      <c r="G346">
        <v>100</v>
      </c>
      <c r="H346">
        <v>20</v>
      </c>
      <c r="I346" t="s">
        <v>61</v>
      </c>
      <c r="J346" t="s">
        <v>62</v>
      </c>
    </row>
    <row r="347" spans="4:10" x14ac:dyDescent="0.35">
      <c r="D347" t="s">
        <v>25</v>
      </c>
      <c r="E347" t="s">
        <v>113</v>
      </c>
      <c r="F347">
        <v>120</v>
      </c>
      <c r="G347">
        <v>102</v>
      </c>
      <c r="H347">
        <v>18</v>
      </c>
      <c r="I347" t="s">
        <v>102</v>
      </c>
      <c r="J347" t="s">
        <v>103</v>
      </c>
    </row>
    <row r="348" spans="4:10" x14ac:dyDescent="0.35">
      <c r="D348" t="s">
        <v>25</v>
      </c>
      <c r="E348" t="s">
        <v>114</v>
      </c>
      <c r="F348">
        <v>120</v>
      </c>
      <c r="G348">
        <v>100</v>
      </c>
      <c r="H348">
        <v>20</v>
      </c>
      <c r="I348" t="s">
        <v>61</v>
      </c>
      <c r="J348" t="s">
        <v>62</v>
      </c>
    </row>
    <row r="349" spans="4:10" x14ac:dyDescent="0.35">
      <c r="D349" t="s">
        <v>25</v>
      </c>
      <c r="E349" t="s">
        <v>117</v>
      </c>
      <c r="F349">
        <v>120</v>
      </c>
      <c r="G349">
        <v>105</v>
      </c>
      <c r="H349">
        <v>15</v>
      </c>
      <c r="I349" t="s">
        <v>161</v>
      </c>
      <c r="J349" t="s">
        <v>162</v>
      </c>
    </row>
    <row r="350" spans="4:10" x14ac:dyDescent="0.35">
      <c r="D350" t="s">
        <v>25</v>
      </c>
      <c r="E350" t="s">
        <v>120</v>
      </c>
      <c r="F350">
        <v>120</v>
      </c>
      <c r="G350">
        <v>102</v>
      </c>
      <c r="H350">
        <v>18</v>
      </c>
      <c r="I350" t="s">
        <v>102</v>
      </c>
      <c r="J350" t="s">
        <v>103</v>
      </c>
    </row>
    <row r="351" spans="4:10" x14ac:dyDescent="0.35">
      <c r="D351" t="s">
        <v>25</v>
      </c>
      <c r="E351" t="s">
        <v>123</v>
      </c>
      <c r="F351">
        <v>120</v>
      </c>
      <c r="G351">
        <v>104</v>
      </c>
      <c r="H351">
        <v>16</v>
      </c>
      <c r="I351" t="s">
        <v>90</v>
      </c>
      <c r="J351" t="s">
        <v>91</v>
      </c>
    </row>
    <row r="352" spans="4:10" x14ac:dyDescent="0.35">
      <c r="D352" t="s">
        <v>25</v>
      </c>
      <c r="E352" t="s">
        <v>126</v>
      </c>
      <c r="F352">
        <v>600</v>
      </c>
      <c r="G352">
        <v>502</v>
      </c>
      <c r="H352">
        <v>98</v>
      </c>
      <c r="I352" t="s">
        <v>213</v>
      </c>
      <c r="J352" t="s">
        <v>214</v>
      </c>
    </row>
    <row r="353" spans="4:10" x14ac:dyDescent="0.35">
      <c r="D353" t="s">
        <v>25</v>
      </c>
      <c r="E353" t="s">
        <v>129</v>
      </c>
      <c r="F353">
        <v>120</v>
      </c>
      <c r="G353">
        <v>103</v>
      </c>
      <c r="H353">
        <v>17</v>
      </c>
      <c r="I353" t="s">
        <v>163</v>
      </c>
      <c r="J353" t="s">
        <v>164</v>
      </c>
    </row>
    <row r="354" spans="4:10" x14ac:dyDescent="0.35">
      <c r="D354" t="s">
        <v>25</v>
      </c>
      <c r="E354" t="s">
        <v>130</v>
      </c>
      <c r="F354">
        <v>120</v>
      </c>
      <c r="G354">
        <v>106</v>
      </c>
      <c r="H354">
        <v>14</v>
      </c>
      <c r="I354" t="s">
        <v>171</v>
      </c>
      <c r="J354" t="s">
        <v>172</v>
      </c>
    </row>
    <row r="355" spans="4:10" x14ac:dyDescent="0.35">
      <c r="D355" t="s">
        <v>25</v>
      </c>
      <c r="E355" t="s">
        <v>131</v>
      </c>
      <c r="F355">
        <v>120</v>
      </c>
      <c r="G355">
        <v>104</v>
      </c>
      <c r="H355">
        <v>16</v>
      </c>
      <c r="I355" t="s">
        <v>90</v>
      </c>
      <c r="J355" t="s">
        <v>91</v>
      </c>
    </row>
    <row r="356" spans="4:10" x14ac:dyDescent="0.35">
      <c r="D356" t="s">
        <v>25</v>
      </c>
      <c r="E356" t="s">
        <v>132</v>
      </c>
      <c r="F356">
        <v>360</v>
      </c>
      <c r="G356">
        <v>304</v>
      </c>
      <c r="H356">
        <v>56</v>
      </c>
      <c r="I356" t="s">
        <v>177</v>
      </c>
      <c r="J356" t="s">
        <v>178</v>
      </c>
    </row>
    <row r="357" spans="4:10" x14ac:dyDescent="0.35">
      <c r="D357" t="s">
        <v>25</v>
      </c>
      <c r="E357" t="s">
        <v>135</v>
      </c>
      <c r="F357">
        <v>240</v>
      </c>
      <c r="G357">
        <v>210</v>
      </c>
      <c r="H357">
        <v>30</v>
      </c>
      <c r="I357" t="s">
        <v>161</v>
      </c>
      <c r="J357" t="s">
        <v>162</v>
      </c>
    </row>
    <row r="358" spans="4:10" x14ac:dyDescent="0.35">
      <c r="D358" t="s">
        <v>25</v>
      </c>
      <c r="E358" t="s">
        <v>25</v>
      </c>
      <c r="F358">
        <v>120</v>
      </c>
      <c r="G358">
        <v>103</v>
      </c>
      <c r="H358">
        <v>17</v>
      </c>
      <c r="I358" t="s">
        <v>163</v>
      </c>
      <c r="J358" t="s">
        <v>164</v>
      </c>
    </row>
    <row r="359" spans="4:10" x14ac:dyDescent="0.35">
      <c r="D359" t="s">
        <v>25</v>
      </c>
      <c r="E359" t="s">
        <v>138</v>
      </c>
      <c r="F359">
        <v>120</v>
      </c>
      <c r="G359">
        <v>100</v>
      </c>
      <c r="H359">
        <v>20</v>
      </c>
      <c r="I359" t="s">
        <v>61</v>
      </c>
      <c r="J359" t="s">
        <v>62</v>
      </c>
    </row>
    <row r="360" spans="4:10" x14ac:dyDescent="0.35">
      <c r="D360" t="s">
        <v>25</v>
      </c>
      <c r="E360" t="s">
        <v>139</v>
      </c>
      <c r="F360">
        <v>120</v>
      </c>
      <c r="G360">
        <v>100</v>
      </c>
      <c r="H360">
        <v>20</v>
      </c>
      <c r="I360" t="s">
        <v>61</v>
      </c>
      <c r="J360" t="s">
        <v>62</v>
      </c>
    </row>
    <row r="361" spans="4:10" x14ac:dyDescent="0.35">
      <c r="D361" t="s">
        <v>25</v>
      </c>
      <c r="E361" t="s">
        <v>140</v>
      </c>
      <c r="F361">
        <v>120</v>
      </c>
      <c r="G361">
        <v>100</v>
      </c>
      <c r="H361">
        <v>20</v>
      </c>
      <c r="I361" t="s">
        <v>61</v>
      </c>
      <c r="J361" t="s">
        <v>62</v>
      </c>
    </row>
    <row r="362" spans="4:10" x14ac:dyDescent="0.35">
      <c r="D362" t="s">
        <v>25</v>
      </c>
      <c r="E362" t="s">
        <v>141</v>
      </c>
      <c r="F362">
        <v>120</v>
      </c>
      <c r="G362">
        <v>101</v>
      </c>
      <c r="H362">
        <v>19</v>
      </c>
      <c r="I362" t="s">
        <v>76</v>
      </c>
      <c r="J362" t="s">
        <v>77</v>
      </c>
    </row>
    <row r="363" spans="4:10" x14ac:dyDescent="0.35">
      <c r="D363" t="s">
        <v>25</v>
      </c>
      <c r="E363" t="s">
        <v>142</v>
      </c>
      <c r="F363">
        <v>120</v>
      </c>
      <c r="G363">
        <v>105</v>
      </c>
      <c r="H363">
        <v>15</v>
      </c>
      <c r="I363" t="s">
        <v>161</v>
      </c>
      <c r="J363" t="s">
        <v>162</v>
      </c>
    </row>
    <row r="364" spans="4:10" x14ac:dyDescent="0.35">
      <c r="D364" t="s">
        <v>25</v>
      </c>
      <c r="E364" t="s">
        <v>143</v>
      </c>
      <c r="F364">
        <v>120</v>
      </c>
      <c r="G364">
        <v>105</v>
      </c>
      <c r="H364">
        <v>15</v>
      </c>
      <c r="I364" t="s">
        <v>161</v>
      </c>
      <c r="J364" t="s">
        <v>162</v>
      </c>
    </row>
    <row r="365" spans="4:10" x14ac:dyDescent="0.35">
      <c r="D365" t="s">
        <v>25</v>
      </c>
      <c r="E365" t="s">
        <v>144</v>
      </c>
      <c r="F365">
        <v>120</v>
      </c>
      <c r="G365">
        <v>103</v>
      </c>
      <c r="H365">
        <v>17</v>
      </c>
      <c r="I365" t="s">
        <v>163</v>
      </c>
      <c r="J365" t="s">
        <v>164</v>
      </c>
    </row>
    <row r="366" spans="4:10" x14ac:dyDescent="0.35">
      <c r="D366" t="s">
        <v>25</v>
      </c>
      <c r="E366" t="s">
        <v>147</v>
      </c>
      <c r="F366">
        <v>120</v>
      </c>
      <c r="G366">
        <v>100</v>
      </c>
      <c r="H366">
        <v>20</v>
      </c>
      <c r="I366" t="s">
        <v>61</v>
      </c>
      <c r="J366" t="s">
        <v>62</v>
      </c>
    </row>
    <row r="367" spans="4:10" x14ac:dyDescent="0.35">
      <c r="D367" t="s">
        <v>25</v>
      </c>
      <c r="E367" t="s">
        <v>148</v>
      </c>
      <c r="F367">
        <v>606</v>
      </c>
      <c r="G367">
        <v>507</v>
      </c>
      <c r="H367">
        <v>99</v>
      </c>
      <c r="I367" t="s">
        <v>215</v>
      </c>
      <c r="J367" t="s">
        <v>216</v>
      </c>
    </row>
    <row r="368" spans="4:10" x14ac:dyDescent="0.35">
      <c r="D368" t="s">
        <v>25</v>
      </c>
      <c r="E368" t="s">
        <v>151</v>
      </c>
      <c r="F368">
        <v>120</v>
      </c>
      <c r="G368">
        <v>105</v>
      </c>
      <c r="H368">
        <v>15</v>
      </c>
      <c r="I368" t="s">
        <v>161</v>
      </c>
      <c r="J368" t="s">
        <v>162</v>
      </c>
    </row>
    <row r="369" spans="4:10" x14ac:dyDescent="0.35">
      <c r="D369" t="s">
        <v>25</v>
      </c>
      <c r="E369" t="s">
        <v>152</v>
      </c>
      <c r="F369">
        <v>120</v>
      </c>
      <c r="G369">
        <v>101</v>
      </c>
      <c r="H369">
        <v>19</v>
      </c>
      <c r="I369" t="s">
        <v>76</v>
      </c>
      <c r="J369" t="s">
        <v>77</v>
      </c>
    </row>
    <row r="370" spans="4:10" x14ac:dyDescent="0.35">
      <c r="D370" t="s">
        <v>25</v>
      </c>
      <c r="E370" t="s">
        <v>153</v>
      </c>
      <c r="F370">
        <v>360</v>
      </c>
      <c r="G370">
        <v>304</v>
      </c>
      <c r="H370">
        <v>56</v>
      </c>
      <c r="I370" t="s">
        <v>177</v>
      </c>
      <c r="J370" t="s">
        <v>178</v>
      </c>
    </row>
    <row r="371" spans="4:10" x14ac:dyDescent="0.35">
      <c r="D371" t="s">
        <v>25</v>
      </c>
      <c r="E371" t="s">
        <v>156</v>
      </c>
      <c r="F371">
        <v>120</v>
      </c>
      <c r="G371">
        <v>105</v>
      </c>
      <c r="H371">
        <v>15</v>
      </c>
      <c r="I371" t="s">
        <v>161</v>
      </c>
      <c r="J371" t="s">
        <v>162</v>
      </c>
    </row>
    <row r="372" spans="4:10" x14ac:dyDescent="0.35">
      <c r="D372" t="s">
        <v>25</v>
      </c>
      <c r="E372" t="s">
        <v>157</v>
      </c>
      <c r="F372">
        <v>360</v>
      </c>
      <c r="G372">
        <v>316</v>
      </c>
      <c r="H372">
        <v>44</v>
      </c>
      <c r="I372" t="s">
        <v>217</v>
      </c>
      <c r="J372" t="s">
        <v>218</v>
      </c>
    </row>
    <row r="373" spans="4:10" x14ac:dyDescent="0.35">
      <c r="D373" t="s">
        <v>25</v>
      </c>
      <c r="E373" t="s">
        <v>158</v>
      </c>
      <c r="F373">
        <v>240</v>
      </c>
      <c r="G373">
        <v>209</v>
      </c>
      <c r="H373">
        <v>31</v>
      </c>
      <c r="I373" t="s">
        <v>191</v>
      </c>
      <c r="J373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DC28D4-E0DE-45D1-94BA-998A9C6E36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B6751-D2FD-4B4C-ABD9-FD1F2B940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9f0099-d6fb-435c-9d39-0810b4dadcf4"/>
    <ds:schemaRef ds:uri="7af7d281-207d-4c8d-baab-f436b7ced2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41881D-A468-4398-A72D-A134AA45DD03}">
  <ds:schemaRefs>
    <ds:schemaRef ds:uri="http://schemas.microsoft.com/office/2006/metadata/properties"/>
    <ds:schemaRef ds:uri="http://schemas.microsoft.com/office/infopath/2007/PartnerControls"/>
    <ds:schemaRef ds:uri="7af7d281-207d-4c8d-baab-f436b7ced249"/>
    <ds:schemaRef ds:uri="de9f0099-d6fb-435c-9d39-0810b4dadc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NLU_Bias_Reference</vt:lpstr>
      <vt:lpstr>NLU_BIAS_TobeComputed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Prabakar, Manoj</cp:lastModifiedBy>
  <cp:revision/>
  <dcterms:created xsi:type="dcterms:W3CDTF">2025-10-02T09:13:34Z</dcterms:created>
  <dcterms:modified xsi:type="dcterms:W3CDTF">2026-03-11T16:38:50Z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